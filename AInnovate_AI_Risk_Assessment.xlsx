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sk Scoring Guide" sheetId="1" state="visible" r:id="rId3"/>
    <sheet name="Overview" sheetId="2" state="visible" r:id="rId4"/>
    <sheet name="Risk Taxonomy" sheetId="3" state="visible" r:id="rId5"/>
    <sheet name="GenStudio Risk Assessment" sheetId="4" state="visible" r:id="rId6"/>
    <sheet name="Risk Assessment Template"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<sst xmlns="http://schemas.openxmlformats.org/spreadsheetml/2006/main" count="621" uniqueCount="452">
  <si>
    <t xml:space="preserve">AI Risk Scoring Methodology – AInnovate Inc.</t>
  </si>
  <si>
    <t xml:space="preserve">This guide defines the scoring scales for Likelihood, Impact, and Risk Rating used in all AInnovate AI risk assessments.</t>
  </si>
  <si>
    <t xml:space="preserve">LIKELIHOOD SCALE</t>
  </si>
  <si>
    <t xml:space="preserve">Score</t>
  </si>
  <si>
    <t xml:space="preserve">Rating</t>
  </si>
  <si>
    <t xml:space="preserve">Frequency</t>
  </si>
  <si>
    <t xml:space="preserve">Description</t>
  </si>
  <si>
    <t xml:space="preserve">Example (GenStudio)</t>
  </si>
  <si>
    <t xml:space="preserve">Probability</t>
  </si>
  <si>
    <t xml:space="preserve">1</t>
  </si>
  <si>
    <t xml:space="preserve">Rare</t>
  </si>
  <si>
    <t xml:space="preserve">&lt; 1 per year</t>
  </si>
  <si>
    <t xml:space="preserve">Event is unlikely to occur under normal operating conditions.</t>
  </si>
  <si>
    <t xml:space="preserve">Targeted model inversion attack by sophisticated threat actor.</t>
  </si>
  <si>
    <t xml:space="preserve">&lt; 5%</t>
  </si>
  <si>
    <t xml:space="preserve">2</t>
  </si>
  <si>
    <t xml:space="preserve">Unlikely</t>
  </si>
  <si>
    <t xml:space="preserve">1-2 per year</t>
  </si>
  <si>
    <t xml:space="preserve">Event may occur in exceptional circumstances.</t>
  </si>
  <si>
    <t xml:space="preserve">Significant data poisoning of fine-tuning pipeline.</t>
  </si>
  <si>
    <t xml:space="preserve">5–20%</t>
  </si>
  <si>
    <t xml:space="preserve">3</t>
  </si>
  <si>
    <t xml:space="preserve">Possible</t>
  </si>
  <si>
    <t xml:space="preserve">Quarterly</t>
  </si>
  <si>
    <t xml:space="preserve">Event could occur and has been observed in similar systems.</t>
  </si>
  <si>
    <t xml:space="preserve">Model drift causing noticeable quality degradation detected.</t>
  </si>
  <si>
    <t xml:space="preserve">20–50%</t>
  </si>
  <si>
    <t xml:space="preserve">4</t>
  </si>
  <si>
    <t xml:space="preserve">Likely</t>
  </si>
  <si>
    <t xml:space="preserve">Monthly</t>
  </si>
  <si>
    <t xml:space="preserve">Event will probably occur; has been observed in AInnovate or peer systems.</t>
  </si>
  <si>
    <t xml:space="preserve">User submits prompt attempting to bypass content safety filters.</t>
  </si>
  <si>
    <t xml:space="preserve">50–80%</t>
  </si>
  <si>
    <t xml:space="preserve">5</t>
  </si>
  <si>
    <t xml:space="preserve">Almost Certain</t>
  </si>
  <si>
    <t xml:space="preserve">Weekly or more</t>
  </si>
  <si>
    <t xml:space="preserve">Event is expected to occur regularly under normal operating conditions.</t>
  </si>
  <si>
    <t xml:space="preserve">At least one output rated low quality per day by end users.</t>
  </si>
  <si>
    <t xml:space="preserve">&gt; 80%</t>
  </si>
  <si>
    <t xml:space="preserve">IMPACT SCALE</t>
  </si>
  <si>
    <t xml:space="preserve">Business Impact</t>
  </si>
  <si>
    <t xml:space="preserve">Regulatory / Legal Impact</t>
  </si>
  <si>
    <t xml:space="preserve">Reputational Impact</t>
  </si>
  <si>
    <t xml:space="preserve">Recovery Effort</t>
  </si>
  <si>
    <t xml:space="preserve">Negligible</t>
  </si>
  <si>
    <t xml:space="preserve">Minimal disruption; easily recoverable; &lt; £5K cost.</t>
  </si>
  <si>
    <t xml:space="preserve">No regulatory breach.</t>
  </si>
  <si>
    <t xml:space="preserve">No media coverage; isolated customer complaint.</t>
  </si>
  <si>
    <t xml:space="preserve">Hours</t>
  </si>
  <si>
    <t xml:space="preserve">Minor</t>
  </si>
  <si>
    <t xml:space="preserve">Moderate disruption; £5K–£50K cost; single team affected.</t>
  </si>
  <si>
    <t xml:space="preserve">Minor non-compliance; internal remediation sufficient.</t>
  </si>
  <si>
    <t xml:space="preserve">Negative customer feedback; internal concern.</t>
  </si>
  <si>
    <t xml:space="preserve">Days</t>
  </si>
  <si>
    <t xml:space="preserve">Moderate</t>
  </si>
  <si>
    <t xml:space="preserve">Significant disruption; £50K–£250K cost; multiple teams.</t>
  </si>
  <si>
    <t xml:space="preserve">Reportable incident; regulator inquiry possible.</t>
  </si>
  <si>
    <t xml:space="preserve">Negative trade press coverage; customer escalations.</t>
  </si>
  <si>
    <t xml:space="preserve">Weeks</t>
  </si>
  <si>
    <t xml:space="preserve">Major</t>
  </si>
  <si>
    <t xml:space="preserve">Serious disruption; £250K–£1M cost; product or service impact.</t>
  </si>
  <si>
    <t xml:space="preserve">Formal regulatory investigation; potential fine.</t>
  </si>
  <si>
    <t xml:space="preserve">Mainstream media coverage; loss of enterprise accounts.</t>
  </si>
  <si>
    <t xml:space="preserve">Months</t>
  </si>
  <si>
    <t xml:space="preserve">Critical</t>
  </si>
  <si>
    <t xml:space="preserve">Business-threatening; &gt; £1M cost; existential reputational harm.</t>
  </si>
  <si>
    <t xml:space="preserve">Maximum regulatory sanction; criminal liability possible.</t>
  </si>
  <si>
    <t xml:space="preserve">Sustained media crisis; significant customer churn.</t>
  </si>
  <si>
    <t xml:space="preserve">Months–Years</t>
  </si>
  <si>
    <t xml:space="preserve">RISK RATING MATRIX  (Inherent Risk Score = Likelihood × Impact)</t>
  </si>
  <si>
    <t xml:space="preserve">Likelihood ↓  /  Impact →</t>
  </si>
  <si>
    <t xml:space="preserve">1 – Negligible</t>
  </si>
  <si>
    <t xml:space="preserve">2 – Minor</t>
  </si>
  <si>
    <t xml:space="preserve">3 – Moderate</t>
  </si>
  <si>
    <t xml:space="preserve">4 – Major</t>
  </si>
  <si>
    <t xml:space="preserve">5 – Critical</t>
  </si>
  <si>
    <t xml:space="preserve">5 – Almost Certain</t>
  </si>
  <si>
    <t xml:space="preserve">4 – Likely</t>
  </si>
  <si>
    <t xml:space="preserve">3 – Possible</t>
  </si>
  <si>
    <t xml:space="preserve">2 – Unlikely</t>
  </si>
  <si>
    <t xml:space="preserve">1 – Rare</t>
  </si>
  <si>
    <t xml:space="preserve">RISK RATING THRESHOLDS (Residual Risk)</t>
  </si>
  <si>
    <t xml:space="preserve">Score Range</t>
  </si>
  <si>
    <t xml:space="preserve">Required Action &amp; NIST Reference</t>
  </si>
  <si>
    <t xml:space="preserve">1–4</t>
  </si>
  <si>
    <t xml:space="preserve">LOW</t>
  </si>
  <si>
    <t xml:space="preserve">Monitor quarterly. Standard controls adequate.                  NIST: MG-2.1</t>
  </si>
  <si>
    <t xml:space="preserve">5–9</t>
  </si>
  <si>
    <t xml:space="preserve">MEDIUM</t>
  </si>
  <si>
    <t xml:space="preserve">Enhance controls; review bi-monthly; owner accountable.         NIST: MG-2.2</t>
  </si>
  <si>
    <t xml:space="preserve">10–14</t>
  </si>
  <si>
    <t xml:space="preserve">HIGH</t>
  </si>
  <si>
    <t xml:space="preserve">Immediate action plan required; AIGC notification; monthly review. NIST: MG-2.3</t>
  </si>
  <si>
    <t xml:space="preserve">15–25</t>
  </si>
  <si>
    <t xml:space="preserve">CRITICAL</t>
  </si>
  <si>
    <t xml:space="preserve">Escalate to AIGC; potential system suspension; executive sign-off. NIST: MG-3.2</t>
  </si>
  <si>
    <t xml:space="preserve">AInnovate Inc. – AI Risk Assessment Framework</t>
  </si>
  <si>
    <t xml:space="preserve">GenStudio Generative AI Product  |  Document: AIN-GOV-005  |  Version 1.0  |  February 2026  |  Prepared by: Mihir Trivedi, AI Governance Lead</t>
  </si>
  <si>
    <t xml:space="preserve">Document Number</t>
  </si>
  <si>
    <t xml:space="preserve">AIN-GOV-005</t>
  </si>
  <si>
    <t xml:space="preserve">Version</t>
  </si>
  <si>
    <t xml:space="preserve">1.0</t>
  </si>
  <si>
    <t xml:space="preserve">Status</t>
  </si>
  <si>
    <t xml:space="preserve">APPROVED</t>
  </si>
  <si>
    <t xml:space="preserve">Effective Date</t>
  </si>
  <si>
    <t xml:space="preserve">01 February 2026</t>
  </si>
  <si>
    <t xml:space="preserve">Review Date</t>
  </si>
  <si>
    <t xml:space="preserve">31 January 2027</t>
  </si>
  <si>
    <t xml:space="preserve">Document Owner</t>
  </si>
  <si>
    <t xml:space="preserve">AI Governance Committee</t>
  </si>
  <si>
    <t xml:space="preserve">Prepared by</t>
  </si>
  <si>
    <t xml:space="preserve">Mihir Trivedi, AI Governance Lead</t>
  </si>
  <si>
    <t xml:space="preserve">Approved by</t>
  </si>
  <si>
    <t xml:space="preserve">Chief Product Officer (CPO)</t>
  </si>
  <si>
    <t xml:space="preserve">Classification</t>
  </si>
  <si>
    <t xml:space="preserve">INTERNAL – CONFIDENTIAL</t>
  </si>
  <si>
    <t xml:space="preserve">Workbook Contents &amp; Navigation Guide</t>
  </si>
  <si>
    <t xml:space="preserve">#</t>
  </si>
  <si>
    <t xml:space="preserve">Sheet Name</t>
  </si>
  <si>
    <t xml:space="preserve">Risk Taxonomy</t>
  </si>
  <si>
    <t xml:space="preserve">Comprehensive catalogue of AI risk categories and sub-types applicable to GenStudio and future AI systems.</t>
  </si>
  <si>
    <t xml:space="preserve">Risk Assessment Template</t>
  </si>
  <si>
    <t xml:space="preserve">Blank template for assessing inherent risk, controls, and residual risk for any AI use case. Complete one copy per use case.</t>
  </si>
  <si>
    <t xml:space="preserve">GenStudio Risk Assessment</t>
  </si>
  <si>
    <t xml:space="preserve">Fully populated risk assessment for GenStudio v1.0, including all identified risks, controls, risk scores, and remediation actions.</t>
  </si>
  <si>
    <t xml:space="preserve">Risk Scoring Guide</t>
  </si>
  <si>
    <t xml:space="preserve">Scoring methodology: likelihood/impact definitions, risk matrix, and RAG thresholds used across all assessments.</t>
  </si>
  <si>
    <t xml:space="preserve">Framework Alignment:  NIST AI RMF 1.0 (Map / Measure / Manage)  |  ISO/IEC 42001:2023 Cl. 6.1 &amp; 8.1  |  EU AI Act Art. 9 (Risk Management)</t>
  </si>
  <si>
    <t xml:space="preserve">AI Risk Taxonomy – AInnovate Inc.</t>
  </si>
  <si>
    <t xml:space="preserve">This taxonomy defines all categories of AI risk applicable to AInnovate systems. Each risk in the Risk Assessment sheets must be tagged to a Taxonomy ID.</t>
  </si>
  <si>
    <t xml:space="preserve">Taxonomy ID</t>
  </si>
  <si>
    <t xml:space="preserve">Risk Category</t>
  </si>
  <si>
    <t xml:space="preserve">Risk Sub-Category</t>
  </si>
  <si>
    <t xml:space="preserve">Typical AI Impact</t>
  </si>
  <si>
    <t xml:space="preserve">Example for GenStudio</t>
  </si>
  <si>
    <t xml:space="preserve">NIST AI RMF Ref.</t>
  </si>
  <si>
    <t xml:space="preserve">ISO 42001 Ref.</t>
  </si>
  <si>
    <t xml:space="preserve">T-01</t>
  </si>
  <si>
    <t xml:space="preserve">Model Performance</t>
  </si>
  <si>
    <t xml:space="preserve">Accuracy / Quality Degradation</t>
  </si>
  <si>
    <t xml:space="preserve">Model produces outputs that are factually incorrect, irrelevant, or of poor quality relative to intended use case.</t>
  </si>
  <si>
    <t xml:space="preserve">Customer dissatisfaction; reputational harm; wasted marketing spend.</t>
  </si>
  <si>
    <t xml:space="preserve">GenStudio generates ad copy with factual errors about a product (wrong prices, features).</t>
  </si>
  <si>
    <t xml:space="preserve">MS-2.5, MS-2.6</t>
  </si>
  <si>
    <t xml:space="preserve">Cl. 8.4, A.6.1.4</t>
  </si>
  <si>
    <t xml:space="preserve">T-02</t>
  </si>
  <si>
    <t xml:space="preserve">Hallucination</t>
  </si>
  <si>
    <t xml:space="preserve">The model generates plausible-sounding but fabricated information with high confidence.</t>
  </si>
  <si>
    <t xml:space="preserve">Publication of false claims in marketing materials; legal liability.</t>
  </si>
  <si>
    <t xml:space="preserve">GenStudio invents non-existent product awards or certifications in ad copy.</t>
  </si>
  <si>
    <t xml:space="preserve">MS-2.5</t>
  </si>
  <si>
    <t xml:space="preserve">Cl. 8.4</t>
  </si>
  <si>
    <t xml:space="preserve">T-03</t>
  </si>
  <si>
    <t xml:space="preserve">Model Drift</t>
  </si>
  <si>
    <t xml:space="preserve">Model performance degrades over time as real-world data distribution shifts from training distribution.</t>
  </si>
  <si>
    <t xml:space="preserve">Gradual decline in output quality not caught by periodic testing.</t>
  </si>
  <si>
    <t xml:space="preserve">GenStudio output quality declines as marketing language trends evolve post fine-tuning.</t>
  </si>
  <si>
    <t xml:space="preserve">MS-2.7, MG-4.1</t>
  </si>
  <si>
    <t xml:space="preserve">Cl. 9.1, A.6.2</t>
  </si>
  <si>
    <t xml:space="preserve">T-04</t>
  </si>
  <si>
    <t xml:space="preserve">Inconsistency / Non-Determinism</t>
  </si>
  <si>
    <t xml:space="preserve">Model produces materially different outputs for identical or near-identical inputs across sessions.</t>
  </si>
  <si>
    <t xml:space="preserve">Unpredictable user experience; difficulty in testing and validation.</t>
  </si>
  <si>
    <t xml:space="preserve">Same prompt yields tone-inconsistent ad copy (formal vs casual) across sessions.</t>
  </si>
  <si>
    <t xml:space="preserve">T-05</t>
  </si>
  <si>
    <t xml:space="preserve">Bias &amp; Fairness</t>
  </si>
  <si>
    <t xml:space="preserve">Demographic Bias</t>
  </si>
  <si>
    <t xml:space="preserve">Model outputs systematically disadvantage, misrepresent, or stereotype individuals based on protected characteristics.</t>
  </si>
  <si>
    <t xml:space="preserve">Reputational harm; regulatory breach (Equality Act, GDPR); customer harm.</t>
  </si>
  <si>
    <t xml:space="preserve">GenStudio generates ad copy that reinforces gender stereotypes (e.g., assigning products to specific genders).</t>
  </si>
  <si>
    <t xml:space="preserve">MS-2.3, MP-4.1</t>
  </si>
  <si>
    <t xml:space="preserve">Cl. 8.5, A.6.2</t>
  </si>
  <si>
    <t xml:space="preserve">T-06</t>
  </si>
  <si>
    <t xml:space="preserve">Representation Bias in Training Data</t>
  </si>
  <si>
    <t xml:space="preserve">Training data underrepresents certain demographic groups, causing the model to perform worse for those groups.</t>
  </si>
  <si>
    <t xml:space="preserve">Inequitable product quality across customer segments.</t>
  </si>
  <si>
    <t xml:space="preserve">GenStudio produces lower-quality copy for campaigns targeting minority demographic groups.</t>
  </si>
  <si>
    <t xml:space="preserve">MP-2.3, MS-2.3</t>
  </si>
  <si>
    <t xml:space="preserve">Cl. 8.3, A.6.2</t>
  </si>
  <si>
    <t xml:space="preserve">T-07</t>
  </si>
  <si>
    <t xml:space="preserve">Stereotype Amplification</t>
  </si>
  <si>
    <t xml:space="preserve">Model amplifies pre-existing societal stereotypes present in training data at a higher rate than the baseline rate.</t>
  </si>
  <si>
    <t xml:space="preserve">Brand association with discriminatory content; regulatory scrutiny.</t>
  </si>
  <si>
    <t xml:space="preserve">GenStudio disproportionately links certain product categories (e.g., cleaning products) to women in copy.</t>
  </si>
  <si>
    <t xml:space="preserve">MS-2.3</t>
  </si>
  <si>
    <t xml:space="preserve">Cl. 8.5</t>
  </si>
  <si>
    <t xml:space="preserve">T-08</t>
  </si>
  <si>
    <t xml:space="preserve">Harmful Content</t>
  </si>
  <si>
    <t xml:space="preserve">Toxic / Offensive Output</t>
  </si>
  <si>
    <t xml:space="preserve">Model generates content that is hateful, sexually explicit, violent, or otherwise harmful.</t>
  </si>
  <si>
    <t xml:space="preserve">Severe reputational damage; legal liability; platform bans.</t>
  </si>
  <si>
    <t xml:space="preserve">Prompt injection causes GenStudio to output hate speech in ad copy field.</t>
  </si>
  <si>
    <t xml:space="preserve">MG-2.2, MS-2.6</t>
  </si>
  <si>
    <t xml:space="preserve">Cl. 8.4, 10.1</t>
  </si>
  <si>
    <t xml:space="preserve">T-09</t>
  </si>
  <si>
    <t xml:space="preserve">Copyright / IP Infringement</t>
  </si>
  <si>
    <t xml:space="preserve">Model reproduces or closely mirrors copyrighted text, trademarks, or protected creative works from training data.</t>
  </si>
  <si>
    <t xml:space="preserve">Legal liability; DMCA takedowns; contract breach with customers.</t>
  </si>
  <si>
    <t xml:space="preserve">GenStudio reproduces a competitor's trademarked slogan in generated ad copy.</t>
  </si>
  <si>
    <t xml:space="preserve">MP-2.3, MG-2.4</t>
  </si>
  <si>
    <t xml:space="preserve">Cl. 8.3, A.6.5</t>
  </si>
  <si>
    <t xml:space="preserve">T-10</t>
  </si>
  <si>
    <t xml:space="preserve">Defamation / Misinformation</t>
  </si>
  <si>
    <t xml:space="preserve">Model generates false statements about real individuals, companies, or products.</t>
  </si>
  <si>
    <t xml:space="preserve">Defamation claims; loss of customer trust; regulatory action.</t>
  </si>
  <si>
    <t xml:space="preserve">GenStudio generates copy that falsely attributes negative characteristics to a competitor brand.</t>
  </si>
  <si>
    <t xml:space="preserve">MG-2.2</t>
  </si>
  <si>
    <t xml:space="preserve">T-11</t>
  </si>
  <si>
    <t xml:space="preserve">Data Privacy &amp; Security</t>
  </si>
  <si>
    <t xml:space="preserve">Training Data PII Leakage</t>
  </si>
  <si>
    <t xml:space="preserve">Model memorises and reproduces personally identifiable information from training data in outputs.</t>
  </si>
  <si>
    <t xml:space="preserve">GDPR breach; ICO enforcement; data subject complaints.</t>
  </si>
  <si>
    <t xml:space="preserve">GenStudio reproduces an email address or phone number from fine-tuning dataset in generated copy.</t>
  </si>
  <si>
    <t xml:space="preserve">Cl. 8.3, A.5.1</t>
  </si>
  <si>
    <t xml:space="preserve">T-12</t>
  </si>
  <si>
    <t xml:space="preserve">Inference Data Exposure</t>
  </si>
  <si>
    <t xml:space="preserve">User prompts or generated outputs containing sensitive information are inadequately protected in transit or at rest.</t>
  </si>
  <si>
    <t xml:space="preserve">Confidential business data exposure; GDPR breach.</t>
  </si>
  <si>
    <t xml:space="preserve">Customer's unreleased product details submitted as prompt context are accessible in inference logs.</t>
  </si>
  <si>
    <t xml:space="preserve">MG-2.4</t>
  </si>
  <si>
    <t xml:space="preserve">Cl. 8.3, A.5.2</t>
  </si>
  <si>
    <t xml:space="preserve">T-13</t>
  </si>
  <si>
    <t xml:space="preserve">Prompt Injection / Adversarial Attack</t>
  </si>
  <si>
    <t xml:space="preserve">Malicious instructions embedded in user input manipulate the model to bypass safety controls or exfiltrate data.</t>
  </si>
  <si>
    <t xml:space="preserve">Safety filter bypass; harmful output; potential data exfiltration.</t>
  </si>
  <si>
    <t xml:space="preserve">User submits a crafted prompt that causes GenStudio to ignore content safety filters.</t>
  </si>
  <si>
    <t xml:space="preserve">MG-2.2, MG-3.2</t>
  </si>
  <si>
    <t xml:space="preserve">Cl. 8.4, A.6.3</t>
  </si>
  <si>
    <t xml:space="preserve">T-14</t>
  </si>
  <si>
    <t xml:space="preserve">Model Inversion / Extraction</t>
  </si>
  <si>
    <t xml:space="preserve">Adversary uses carefully crafted queries to reconstruct training data or extract model weights.</t>
  </si>
  <si>
    <t xml:space="preserve">Intellectual property theft; training data exposure; competitive harm.</t>
  </si>
  <si>
    <t xml:space="preserve">Competitor systematically queries GenStudio API to extract the fine-tuned model's behaviour.</t>
  </si>
  <si>
    <t xml:space="preserve">Cl. A.6.3</t>
  </si>
  <si>
    <t xml:space="preserve">T-15</t>
  </si>
  <si>
    <t xml:space="preserve">Supply Chain &amp; Third Party</t>
  </si>
  <si>
    <t xml:space="preserve">Foundation Model Risk</t>
  </si>
  <si>
    <t xml:space="preserve">Risks inherited from the underlying third-party foundation model (base LLM) including undisclosed training data, embedded biases, or security vulnerabilities.</t>
  </si>
  <si>
    <t xml:space="preserve">Uncontrolled bias/safety risks; licence compliance issues.</t>
  </si>
  <si>
    <t xml:space="preserve">Upstream LLM provider updates base model, introducing regression in GenStudio safety behaviour.</t>
  </si>
  <si>
    <t xml:space="preserve">MP-2.5, GV-6.1</t>
  </si>
  <si>
    <t xml:space="preserve">Cl. 4.2, 8.1</t>
  </si>
  <si>
    <t xml:space="preserve">T-16</t>
  </si>
  <si>
    <t xml:space="preserve">AWS Infrastructure Risk</t>
  </si>
  <si>
    <t xml:space="preserve">Availability, performance, or security failures in cloud infrastructure hosting the AI model.</t>
  </si>
  <si>
    <t xml:space="preserve">Service outage; SLA breach; data loss.</t>
  </si>
  <si>
    <t xml:space="preserve">AWS region outage causes GenStudio API unavailability; model endpoint mis-configured.</t>
  </si>
  <si>
    <t xml:space="preserve">MG-3.1, MG-4.2</t>
  </si>
  <si>
    <t xml:space="preserve">Cl. 8.1, A.6.4</t>
  </si>
  <si>
    <t xml:space="preserve">T-17</t>
  </si>
  <si>
    <t xml:space="preserve">Data Poisoning</t>
  </si>
  <si>
    <t xml:space="preserve">Malicious actors introduce corrupted data into training pipelines to degrade model performance or implant backdoors.</t>
  </si>
  <si>
    <t xml:space="preserve">Systematic output degradation; covert harmful behaviour trigger.</t>
  </si>
  <si>
    <t xml:space="preserve">Compromised third-party dataset used in fine-tuning introduces adversarial examples.</t>
  </si>
  <si>
    <t xml:space="preserve">Cl. 8.3, A.6.3</t>
  </si>
  <si>
    <t xml:space="preserve">T-18</t>
  </si>
  <si>
    <t xml:space="preserve">Compliance &amp; Legal</t>
  </si>
  <si>
    <t xml:space="preserve">EU AI Act Non-Compliance</t>
  </si>
  <si>
    <t xml:space="preserve">Failure to meet EU AI Act obligations (transparency disclosure, technical documentation, human oversight).</t>
  </si>
  <si>
    <t xml:space="preserve">Regulatory fines up to €15M or 3% global turnover; market access restrictions.</t>
  </si>
  <si>
    <t xml:space="preserve">GenStudio deployed in EU without required transparency disclosures (Art. 13).</t>
  </si>
  <si>
    <t xml:space="preserve">GV-4.1, GV-5.1</t>
  </si>
  <si>
    <t xml:space="preserve">Cl. 4.4</t>
  </si>
  <si>
    <t xml:space="preserve">T-19</t>
  </si>
  <si>
    <t xml:space="preserve">GDPR / Data Protection Breach</t>
  </si>
  <si>
    <t xml:space="preserve">Processing of personal data in AI pipelines without adequate legal basis, consent, or safeguards.</t>
  </si>
  <si>
    <t xml:space="preserve">ICO enforcement; fines up to €20M or 4% global turnover; reputational harm.</t>
  </si>
  <si>
    <t xml:space="preserve">Customer PII retained in inference logs beyond permitted retention period.</t>
  </si>
  <si>
    <t xml:space="preserve">GV-4.1</t>
  </si>
  <si>
    <t xml:space="preserve">Cl. 8.3</t>
  </si>
  <si>
    <t xml:space="preserve">T-20</t>
  </si>
  <si>
    <t xml:space="preserve">Intellectual Property – Training Data</t>
  </si>
  <si>
    <t xml:space="preserve">Use of copyrighted material in AI training data without appropriate licence.</t>
  </si>
  <si>
    <t xml:space="preserve">Copyright infringement claims; costly litigation; service suspension.</t>
  </si>
  <si>
    <t xml:space="preserve">Third-party licensed corpus used in fine-tuning found to prohibit AI training use.</t>
  </si>
  <si>
    <t xml:space="preserve">MP-2.3</t>
  </si>
  <si>
    <t xml:space="preserve">T-21</t>
  </si>
  <si>
    <t xml:space="preserve">Transparency &amp; Explainability</t>
  </si>
  <si>
    <t xml:space="preserve">Lack of Output Attribution</t>
  </si>
  <si>
    <t xml:space="preserve">Users cannot determine the provenance or reasoning behind AI-generated outputs.</t>
  </si>
  <si>
    <t xml:space="preserve">Erosion of user trust; inability to audit outputs; regulatory non-compliance.</t>
  </si>
  <si>
    <t xml:space="preserve">GenStudio provides no indication of how a particular ad copy suggestion was generated.</t>
  </si>
  <si>
    <t xml:space="preserve">GV-1.2, MP-4.1</t>
  </si>
  <si>
    <t xml:space="preserve">T-22</t>
  </si>
  <si>
    <t xml:space="preserve">Inadequate AI Disclosure</t>
  </si>
  <si>
    <t xml:space="preserve">Failure to disclose to end users that content was AI-generated.</t>
  </si>
  <si>
    <t xml:space="preserve">Consumer deception; regulatory breach (EU AI Act Art. 52); reputational damage.</t>
  </si>
  <si>
    <t xml:space="preserve">Customer uses GenStudio output in a client pitch without disclosing AI involvement.</t>
  </si>
  <si>
    <t xml:space="preserve">GV-1.2</t>
  </si>
  <si>
    <t xml:space="preserve">T-23</t>
  </si>
  <si>
    <t xml:space="preserve">Reputational &amp; Strategic</t>
  </si>
  <si>
    <t xml:space="preserve">Brand / Reputational Harm</t>
  </si>
  <si>
    <t xml:space="preserve">AI system generates content that causes significant brand damage to AInnovate or its customers.</t>
  </si>
  <si>
    <t xml:space="preserve">Customer churn; media coverage; loss of enterprise contracts.</t>
  </si>
  <si>
    <t xml:space="preserve">Viral social media post showing offensive GenStudio output attributed to AInnovate.</t>
  </si>
  <si>
    <t xml:space="preserve">MG-3.2, MG-4.2</t>
  </si>
  <si>
    <t xml:space="preserve">Cl. 10.1</t>
  </si>
  <si>
    <t xml:space="preserve">T-24</t>
  </si>
  <si>
    <t xml:space="preserve">Over-Reliance / Automation Bias</t>
  </si>
  <si>
    <t xml:space="preserve">Users over-trust AI outputs and fail to apply adequate human review, leading to errors reaching publication.</t>
  </si>
  <si>
    <t xml:space="preserve">Customer brand damage from unchecked AI errors; AInnovate liability.</t>
  </si>
  <si>
    <t xml:space="preserve">Marketing team publishes GenStudio copy with factual errors without review.</t>
  </si>
  <si>
    <t xml:space="preserve">GV-1.4, MP-4.2</t>
  </si>
  <si>
    <t xml:space="preserve">T-25</t>
  </si>
  <si>
    <t xml:space="preserve">Operational</t>
  </si>
  <si>
    <t xml:space="preserve">Model Availability / Latency</t>
  </si>
  <si>
    <t xml:space="preserve">AI service fails to meet availability or latency SLAs, degrading product experience.</t>
  </si>
  <si>
    <t xml:space="preserve">Customer dissatisfaction; SLA penalties; revenue impact.</t>
  </si>
  <si>
    <t xml:space="preserve">GenStudio API response time exceeds 10 seconds during peak usage, degrading UX.</t>
  </si>
  <si>
    <t xml:space="preserve">MG-3.1</t>
  </si>
  <si>
    <t xml:space="preserve">Cl. 8.1</t>
  </si>
  <si>
    <t xml:space="preserve">Risk Category Summary</t>
  </si>
  <si>
    <t xml:space="preserve">Count</t>
  </si>
  <si>
    <t xml:space="preserve">% of Total</t>
  </si>
  <si>
    <t xml:space="preserve">TOTAL</t>
  </si>
  <si>
    <t xml:space="preserve">100.0%</t>
  </si>
  <si>
    <t xml:space="preserve">GenStudio v1.0 – AI Risk Assessment  |  AInnovate Inc.  |  AIN-GOV-005-GS  |  February 2026</t>
  </si>
  <si>
    <t xml:space="preserve">Use Case Name:</t>
  </si>
  <si>
    <t xml:space="preserve">GenStudio v1.0 – Generative AI Ad Copy Platform</t>
  </si>
  <si>
    <t xml:space="preserve">Assessment Date:</t>
  </si>
  <si>
    <t xml:space="preserve">10 February 2026</t>
  </si>
  <si>
    <t xml:space="preserve">Risk Assessor:</t>
  </si>
  <si>
    <t xml:space="preserve">Next Review Date:</t>
  </si>
  <si>
    <t xml:space="preserve">10 August 2026</t>
  </si>
  <si>
    <t xml:space="preserve">AI System Version:</t>
  </si>
  <si>
    <t xml:space="preserve">GenStudio v1.0 (Fine-tuned LLaMA-3-70B on AWS)</t>
  </si>
  <si>
    <t xml:space="preserve">AI Governance Lead:</t>
  </si>
  <si>
    <t xml:space="preserve">Mihir Trivedi</t>
  </si>
  <si>
    <t xml:space="preserve">AIGC Approval Date:</t>
  </si>
  <si>
    <t xml:space="preserve">28 January 2026</t>
  </si>
  <si>
    <t xml:space="preserve">Classification:</t>
  </si>
  <si>
    <t xml:space="preserve">EU AI Act Risk Class:</t>
  </si>
  <si>
    <t xml:space="preserve">Limited Risk (Art. 52)</t>
  </si>
  <si>
    <t xml:space="preserve">ISO 42001 Status:</t>
  </si>
  <si>
    <t xml:space="preserve">Target certification Q4 2026</t>
  </si>
  <si>
    <t xml:space="preserve">Risk
Ref</t>
  </si>
  <si>
    <t xml:space="preserve">Taxonomy
ID</t>
  </si>
  <si>
    <t xml:space="preserve">Risk Description</t>
  </si>
  <si>
    <t xml:space="preserve">Affected
Asset/Component</t>
  </si>
  <si>
    <t xml:space="preserve">Inherent
Likelihood
(1-5)</t>
  </si>
  <si>
    <t xml:space="preserve">Inherent
Impact
(1-5)</t>
  </si>
  <si>
    <t xml:space="preserve">Inherent
Risk Score
(L×I)</t>
  </si>
  <si>
    <t xml:space="preserve">Inherent
Risk Rating</t>
  </si>
  <si>
    <t xml:space="preserve">Existing Controls</t>
  </si>
  <si>
    <t xml:space="preserve">Control
Effectiveness
(High/Med/Low)</t>
  </si>
  <si>
    <t xml:space="preserve">Residual
Likelihood
(1-5)</t>
  </si>
  <si>
    <t xml:space="preserve">Residual
Impact
(1-5)</t>
  </si>
  <si>
    <t xml:space="preserve">Residual
Risk Score
(L×I)</t>
  </si>
  <si>
    <t xml:space="preserve">Residual
Risk Rating</t>
  </si>
  <si>
    <t xml:space="preserve">Remediation Actions &amp; Owner</t>
  </si>
  <si>
    <t xml:space="preserve">GS-R-01</t>
  </si>
  <si>
    <t xml:space="preserve">GenStudio hallucinates product features, pricing, or awards in generated ad copy, leading to publication of false advertising claims.</t>
  </si>
  <si>
    <t xml:space="preserve">LLM Output Layer</t>
  </si>
  <si>
    <t xml:space="preserve">High</t>
  </si>
  <si>
    <t xml:space="preserve">1) Factual accuracy disclaimer displayed on every output.
2) User review step enforced in product workflow before publish.
3) Content safety filter rejects outputs with numeric claims (pricing) absent from prompt context.</t>
  </si>
  <si>
    <t xml:space="preserve">Medium</t>
  </si>
  <si>
    <t xml:space="preserve">Implement retrieval-augmented generation (RAG) to ground copy in verified product catalogue. Owner: Model Owner. Due: Q2 2026.</t>
  </si>
  <si>
    <t xml:space="preserve">GS-R-02</t>
  </si>
  <si>
    <t xml:space="preserve">GenStudio generates ad copy that reinforces gender, age, or racial stereotypes, causing reputational damage and regulatory exposure.</t>
  </si>
  <si>
    <t xml:space="preserve">LLM + Fine-Tuning Data</t>
  </si>
  <si>
    <t xml:space="preserve">1) Bias assessment completed pre-deployment (Feb 2026) – all metrics within threshold.
2) Perspective API toxicity filter applied to outputs.
3) System prompt instructs model to avoid stereotypical language.</t>
  </si>
  <si>
    <t xml:space="preserve">Semi-annual bias re-assessment (next: Aug 2026). Add demographic parity monitoring to production dashboard. Owner: AI Governance Lead. Due: Mar 2026.</t>
  </si>
  <si>
    <t xml:space="preserve">GS-R-03</t>
  </si>
  <si>
    <t xml:space="preserve">Prompt injection or adversarial input causes GenStudio to bypass content filters and generate harmful, offensive, or illegal content.</t>
  </si>
  <si>
    <t xml:space="preserve">API / Prompt Handling</t>
  </si>
  <si>
    <t xml:space="preserve">1) Input sanitisation layer strips known injection patterns.
2) System prompt hardened against role-play jailbreaks.
3) Red-teaming completed Jan 2026 – 47 attack vectors tested, all contained.
4) Output reviewed by content safety model (Amazon Comprehend + custom classifier).</t>
  </si>
  <si>
    <t xml:space="preserve">Monthly automated red-teaming via regression test suite. Upgrade to Constitutional AI-style self-critique layer in Q2 2026. Owner: Security Engineer. Due: Apr 2026.</t>
  </si>
  <si>
    <t xml:space="preserve">GS-R-04</t>
  </si>
  <si>
    <t xml:space="preserve">GenStudio reproduces copyrighted advertising slogans, brand copy, or creative content from training data in customer outputs.</t>
  </si>
  <si>
    <t xml:space="preserve">LLM Training Data</t>
  </si>
  <si>
    <t xml:space="preserve">1) Training data de-duplicated and filtered for high-similarity copyrighted text.
2) Output post-processing checks for &gt;15-word verbatim matches against known corpus.
3) Terms of Use require customer review and indemnification clause.</t>
  </si>
  <si>
    <t xml:space="preserve">License IP insurance for AIGC outputs. Implement automated copyright similarity scoring on outputs. Owner: CLO. Due: Q3 2026.</t>
  </si>
  <si>
    <t xml:space="preserve">GS-R-05</t>
  </si>
  <si>
    <t xml:space="preserve">The fine-tuned LLM memorises and reproduces PII (names, emails, phone numbers) from fine-tuning dataset in generated outputs.</t>
  </si>
  <si>
    <t xml:space="preserve">Fine-Tuning Dataset / LLM</t>
  </si>
  <si>
    <t xml:space="preserve">1) Fine-tuning dataset de-identified – PII scrubbed using AWS Comprehend entity detection pre-training.
2) Output PII detection filter (regex + NER model) blocks outputs containing PII patterns.
3) DPIA completed for fine-tuning data (Feb 2026).</t>
  </si>
  <si>
    <t xml:space="preserve">Add canary token testing to detect memorisation in quarterly model evaluations. Owner: Data Steward. Due: Mar 2026.</t>
  </si>
  <si>
    <t xml:space="preserve">GS-R-06</t>
  </si>
  <si>
    <t xml:space="preserve">Customer prompt data (potentially containing confidential campaign strategies or unreleased product details) is inadequately protected in AWS inference logs.</t>
  </si>
  <si>
    <t xml:space="preserve">AWS Inference Pipeline / Logs</t>
  </si>
  <si>
    <t xml:space="preserve">1) Inference logs encrypted at rest (AWS KMS) and in transit (TLS 1.3).
2) Log retention set to 30 days; automated deletion enforced via S3 lifecycle policy.
3) IAM least-privilege access to inference logs.
4) Automated PII detection masks sensitive data in logs pre-storage.</t>
  </si>
  <si>
    <t xml:space="preserve">Implement customer-managed encryption keys (BYOK) option for enterprise tier. Quarterly IAM access review. Owner: Security Engineer. Due: Q2 2026.</t>
  </si>
  <si>
    <t xml:space="preserve">GS-R-07</t>
  </si>
  <si>
    <t xml:space="preserve">Sophisticated prompt injection attack bypasses all input sanitisation controls, exfiltrating system prompt or causing unintended model behaviour.</t>
  </si>
  <si>
    <t xml:space="preserve">API / System Prompt</t>
  </si>
  <si>
    <t xml:space="preserve">1) System prompt stored server-side; not visible to users.
2) Input length limits reduce attack surface.
3) Multi-layer sanitisation (regex + semantic classifier).
4) Rate limiting on API to detect anomalous query patterns.</t>
  </si>
  <si>
    <t xml:space="preserve">Evaluate LLM-Guard or similar open-source prompt injection detection library. Owner: Security Engineer. Due: Q2 2026.</t>
  </si>
  <si>
    <t xml:space="preserve">GS-R-08</t>
  </si>
  <si>
    <t xml:space="preserve">GenStudio model performance drifts post-deployment as marketing language trends evolve, degrading output relevance without detection.</t>
  </si>
  <si>
    <t xml:space="preserve">Production LLM Endpoint</t>
  </si>
  <si>
    <t xml:space="preserve">1) Monthly automated evaluation against held-out benchmark dataset.
2) User satisfaction scores (thumbs up/down) monitored as proxy signal.
3) Drift alert configured: &gt; 5% degradation in ROUGE-L score triggers owner notification.</t>
  </si>
  <si>
    <t xml:space="preserve">Establish quarterly fine-tuning refresh cycle. Add semantic similarity drift monitoring using sentence transformers. Owner: Model Owner. Due: Q2 2026.</t>
  </si>
  <si>
    <t xml:space="preserve">GS-R-09</t>
  </si>
  <si>
    <t xml:space="preserve">Upstream foundation model provider (base LLM) releases update that introduces regression in safety behaviour, bias characteristics, or output quality.</t>
  </si>
  <si>
    <t xml:space="preserve">Foundation Model (Base LLM)</t>
  </si>
  <si>
    <t xml:space="preserve">1) AInnovate pins to specific base model version; updates require formal change management approval.
2) Regression test suite (250+ test cases) run against any new base model version before adoption.
3) Model card documents dependency on specific upstream version.</t>
  </si>
  <si>
    <t xml:space="preserve">Establish formal supplier risk review for base model provider. Evaluate multi-model strategy for resilience. Owner: CTO. Due: Q3 2026.</t>
  </si>
  <si>
    <t xml:space="preserve">GS-R-10</t>
  </si>
  <si>
    <t xml:space="preserve">GenStudio deployed to EU customers without meeting EU AI Act Article 13 transparency disclosure requirements, risking regulatory sanction.</t>
  </si>
  <si>
    <t xml:space="preserve">Product / Legal</t>
  </si>
  <si>
    <t xml:space="preserve">1) In-product AI-generated content label implemented on all outputs.
2) Terms of Use disclose LLM use and content limitations.
3) CLO conducting EU AI Act registration assessment (in progress).</t>
  </si>
  <si>
    <t xml:space="preserve">Complete EU AI Act conformity assessment by Q2 2026. File in EU AI Act database if required. Owner: CLO. Due: 30 Apr 2026.</t>
  </si>
  <si>
    <t xml:space="preserve">GS-R-11</t>
  </si>
  <si>
    <t xml:space="preserve">Third-party dataset used in fine-tuning is found to contain adversarially poisoned examples, causing subtle systematic bias in outputs.</t>
  </si>
  <si>
    <t xml:space="preserve">Fine-Tuning Pipeline / Dataset</t>
  </si>
  <si>
    <t xml:space="preserve">1) Training data provenance documented; source datasets from vetted providers only.
2) Pre-training data quality checks (anomaly detection on embedding distributions).
3) Post-training bias assessment catches systematic output distortions.</t>
  </si>
  <si>
    <t xml:space="preserve">Implement formal dataset vendor risk assessment. Add automated training data poisoning detection checks. Owner: Data Steward. Due: Q3 2026.</t>
  </si>
  <si>
    <t xml:space="preserve">GS-R-12</t>
  </si>
  <si>
    <t xml:space="preserve">A high-profile case of GenStudio generating offensive or inaccurate output becomes viral, causing significant brand damage to AInnovate.</t>
  </si>
  <si>
    <t xml:space="preserve">Product / Brand</t>
  </si>
  <si>
    <t xml:space="preserve">1) Multi-layer content safety filtering.
2) In-product user reporting mechanism for harmful outputs.
3) Crisis communications plan prepared (draft, not finalised).
4) Incident response plan (AIN-GOV-004) covers reputational incidents.</t>
  </si>
  <si>
    <t xml:space="preserve">Finalise and tabletop-test crisis communications plan (Q1 2026). Establish media monitoring for GenStudio mentions. Owner: CPO. Due: 28 Feb 2026.</t>
  </si>
  <si>
    <t xml:space="preserve">GS-R-13</t>
  </si>
  <si>
    <t xml:space="preserve">Marketing teams over-rely on GenStudio outputs without adequate review, resulting in brand-damaging content being published by customers.</t>
  </si>
  <si>
    <t xml:space="preserve">Product UX / Workflow</t>
  </si>
  <si>
    <t xml:space="preserve">1) Mandatory human review step before export enforced in product UI.
2) User onboarding includes training on AI limitations and review responsibilities.
3) Product documentation explicitly states user responsibility for published content.</t>
  </si>
  <si>
    <t xml:space="preserve">Add contextual quality indicators (confidence scores) to outputs to encourage review. Enhance user training module. Owner: CPO. Due: Q2 2026.</t>
  </si>
  <si>
    <t xml:space="preserve">GS-R-14</t>
  </si>
  <si>
    <t xml:space="preserve">AWS region or availability zone outage causes GenStudio API unavailability, breaching customer SLA commitments.</t>
  </si>
  <si>
    <t xml:space="preserve">AWS Infrastructure</t>
  </si>
  <si>
    <t xml:space="preserve">1) GenStudio deployed across 2 AWS availability zones (eu-west-1).
2) Health checks and auto-scaling configured.
3) Graceful degradation mode returns cached suggestions if primary endpoint unavailable.
4) AWS Business Support subscription for SLA commitments.</t>
  </si>
  <si>
    <t xml:space="preserve">Evaluate multi-region failover (eu-west-2 DR) for enterprise SLA tier. Owner: CTO. Due: Q3 2026.</t>
  </si>
  <si>
    <t xml:space="preserve">GS-R-15</t>
  </si>
  <si>
    <t xml:space="preserve">Customer PII (e.g., consumer personas used as prompt context) retained in inference logs beyond 30-day policy limit due to misconfiguration.</t>
  </si>
  <si>
    <t xml:space="preserve">AWS S3 Inference Logs</t>
  </si>
  <si>
    <t xml:space="preserve">1) S3 lifecycle policy configured for 30-day deletion.
2) Quarterly audit of log retention settings.
3) PII automated masking applied before log storage.</t>
  </si>
  <si>
    <t xml:space="preserve">Add automated compliance check to CI/CD pipeline to verify S3 lifecycle policy on each deployment. Owner: Data Steward / Security Engineer. Due: Mar 2026.</t>
  </si>
  <si>
    <t xml:space="preserve">RISK SUMMARY DASHBOARD</t>
  </si>
  <si>
    <t xml:space="preserve">Risk Rating</t>
  </si>
  <si>
    <t xml:space="preserve">Inherent Count</t>
  </si>
  <si>
    <t xml:space="preserve">Residual Count</t>
  </si>
  <si>
    <t xml:space="preserve">Change</t>
  </si>
  <si>
    <t xml:space="preserve">✓ Reduced</t>
  </si>
  <si>
    <t xml:space="preserve">↑ Increased</t>
  </si>
  <si>
    <t xml:space="preserve">—</t>
  </si>
  <si>
    <t xml:space="preserve">See residual ratings above</t>
  </si>
  <si>
    <t xml:space="preserve">Assessment prepared by Mihir Trivedi, AI Governance Lead  |  Reviewed by: AI Governance Committee  |  Next full review: 10 August 2026  |  AInnovate Inc. CONFIDENTIAL</t>
  </si>
  <si>
    <t xml:space="preserve">AI Use Case Risk Assessment Template – AInnovate Inc.</t>
  </si>
  <si>
    <t xml:space="preserve">[Enter AI system / use case name]</t>
  </si>
  <si>
    <t xml:space="preserve">[DD Mon YYYY]</t>
  </si>
  <si>
    <t xml:space="preserve">[Name, Role]</t>
  </si>
  <si>
    <t xml:space="preserve">Review Date:</t>
  </si>
  <si>
    <t xml:space="preserve">[e.g., v1.0]</t>
  </si>
  <si>
    <t xml:space="preserve">R-001</t>
  </si>
  <si>
    <t xml:space="preserve">T-XX</t>
  </si>
  <si>
    <t xml:space="preserve">[Category]</t>
  </si>
  <si>
    <t xml:space="preserve">[Describe the specific risk event and its trigger]</t>
  </si>
  <si>
    <t xml:space="preserve">[Model/Data/API/UI]</t>
  </si>
  <si>
    <t xml:space="preserve">[List controls already in place]</t>
  </si>
  <si>
    <t xml:space="preserve">[Action description] – Owner: [Name] – Due: [Date]</t>
  </si>
  <si>
    <t xml:space="preserve">R-002</t>
  </si>
  <si>
    <t xml:space="preserve">INSTRUCTIONS: 1) Copy this sheet for each new AI use case assessment.  2) Complete one row per identified risk.  3) Inherent Risk Score and Rating calculate automatically.  4) Residual scores calculate after applying controls.  5) All HIGH and CRITICAL residual risks require AIGC notification.  6) Tag each risk to a Taxonomy ID from the 'Risk Taxonomy' sheet.</t>
  </si>
</sst>
</file>

<file path=xl/styles.xml><?xml version="1.0" encoding="utf-8"?>
<styleSheet xmlns="http://schemas.openxmlformats.org/spreadsheetml/2006/main">
  <numFmts count="3">
    <numFmt numFmtId="164" formatCode="General"/>
    <numFmt numFmtId="165" formatCode="0.0%"/>
    <numFmt numFmtId="166" formatCode="General"/>
  </numFmts>
  <fonts count="2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404040"/>
      <name val="Arial"/>
      <family val="0"/>
      <charset val="1"/>
    </font>
    <font>
      <b val="true"/>
      <sz val="11"/>
      <color rgb="FFFFFFFF"/>
      <name val="Arial"/>
      <family val="0"/>
      <charset val="1"/>
    </font>
    <font>
      <b val="true"/>
      <sz val="10"/>
      <color rgb="FFFFFFFF"/>
      <name val="Arial"/>
      <family val="0"/>
      <charset val="1"/>
    </font>
    <font>
      <b val="true"/>
      <sz val="10"/>
      <color rgb="FF404040"/>
      <name val="Arial"/>
      <family val="0"/>
      <charset val="1"/>
    </font>
    <font>
      <sz val="10"/>
      <color rgb="FF404040"/>
      <name val="Arial"/>
      <family val="0"/>
      <charset val="1"/>
    </font>
    <font>
      <b val="true"/>
      <sz val="9"/>
      <color rgb="FF404040"/>
      <name val="Arial"/>
      <family val="0"/>
      <charset val="1"/>
    </font>
    <font>
      <b val="true"/>
      <sz val="11"/>
      <color rgb="FF000000"/>
      <name val="Arial"/>
      <family val="0"/>
      <charset val="1"/>
    </font>
    <font>
      <b val="true"/>
      <sz val="10"/>
      <color rgb="FF000000"/>
      <name val="Arial"/>
      <family val="0"/>
      <charset val="1"/>
    </font>
    <font>
      <b val="true"/>
      <sz val="20"/>
      <color rgb="FFFFFFFF"/>
      <name val="Arial"/>
      <family val="0"/>
      <charset val="1"/>
    </font>
    <font>
      <i val="true"/>
      <sz val="11"/>
      <color rgb="FFFFFFFF"/>
      <name val="Arial"/>
      <family val="0"/>
      <charset val="1"/>
    </font>
    <font>
      <b val="true"/>
      <sz val="10"/>
      <color rgb="FF1F3864"/>
      <name val="Arial"/>
      <family val="0"/>
      <charset val="1"/>
    </font>
    <font>
      <b val="true"/>
      <sz val="12"/>
      <color rgb="FFFFFFFF"/>
      <name val="Arial"/>
      <family val="0"/>
      <charset val="1"/>
    </font>
    <font>
      <i val="true"/>
      <sz val="10"/>
      <color rgb="FF2E75B6"/>
      <name val="Arial"/>
      <family val="0"/>
      <charset val="1"/>
    </font>
    <font>
      <b val="true"/>
      <sz val="13"/>
      <color rgb="FFFFFFFF"/>
      <name val="Arial"/>
      <family val="0"/>
      <charset val="1"/>
    </font>
    <font>
      <b val="true"/>
      <sz val="10"/>
      <color rgb="FF375623"/>
      <name val="Arial"/>
      <family val="0"/>
      <charset val="1"/>
    </font>
    <font>
      <i val="true"/>
      <sz val="9"/>
      <color rgb="FF2E75B6"/>
      <name val="Arial"/>
      <family val="0"/>
      <charset val="1"/>
    </font>
  </fonts>
  <fills count="16">
    <fill>
      <patternFill patternType="none"/>
    </fill>
    <fill>
      <patternFill patternType="gray125"/>
    </fill>
    <fill>
      <patternFill patternType="solid">
        <fgColor rgb="FF1F3864"/>
        <bgColor rgb="FF333399"/>
      </patternFill>
    </fill>
    <fill>
      <patternFill patternType="solid">
        <fgColor rgb="FFD6E4F0"/>
        <bgColor rgb="FFEEF4FB"/>
      </patternFill>
    </fill>
    <fill>
      <patternFill patternType="solid">
        <fgColor rgb="FF2E75B6"/>
        <bgColor rgb="FF0066CC"/>
      </patternFill>
    </fill>
    <fill>
      <patternFill patternType="solid">
        <fgColor rgb="FF375623"/>
        <bgColor rgb="FF404040"/>
      </patternFill>
    </fill>
    <fill>
      <patternFill patternType="solid">
        <fgColor rgb="FFEEF4FB"/>
        <bgColor rgb="FFFFFFFF"/>
      </patternFill>
    </fill>
    <fill>
      <patternFill patternType="solid">
        <fgColor rgb="FF538135"/>
        <bgColor rgb="FF808000"/>
      </patternFill>
    </fill>
    <fill>
      <patternFill patternType="solid">
        <fgColor rgb="FFFFFFFF"/>
        <bgColor rgb="FFEEF4FB"/>
      </patternFill>
    </fill>
    <fill>
      <patternFill patternType="solid">
        <fgColor rgb="FFBF8F00"/>
        <bgColor rgb="FFE26B0A"/>
      </patternFill>
    </fill>
    <fill>
      <patternFill patternType="solid">
        <fgColor rgb="FFE26B0A"/>
        <bgColor rgb="FFBF8F00"/>
      </patternFill>
    </fill>
    <fill>
      <patternFill patternType="solid">
        <fgColor rgb="FFC00000"/>
        <bgColor rgb="FFFF0000"/>
      </patternFill>
    </fill>
    <fill>
      <patternFill patternType="solid">
        <fgColor rgb="FFFFC000"/>
        <bgColor rgb="FFFFFF00"/>
      </patternFill>
    </fill>
    <fill>
      <patternFill patternType="solid">
        <fgColor rgb="FFFF0000"/>
        <bgColor rgb="FFC00000"/>
      </patternFill>
    </fill>
    <fill>
      <patternFill patternType="solid">
        <fgColor rgb="FFFFFF00"/>
        <bgColor rgb="FFFFFF00"/>
      </patternFill>
    </fill>
    <fill>
      <patternFill patternType="solid">
        <fgColor rgb="FF92D050"/>
        <bgColor rgb="FFBBBBBB"/>
      </patternFill>
    </fill>
  </fills>
  <borders count="3">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 diagonalUp="false" diagonalDown="false">
      <left style="thin">
        <color rgb="FFBBBBBB"/>
      </left>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left" vertical="center" textRotation="0" wrapText="true" indent="1" shrinkToFit="false"/>
      <protection locked="true" hidden="false"/>
    </xf>
    <xf numFmtId="164" fontId="6" fillId="4" borderId="0" xfId="0" applyFont="true" applyBorder="true" applyAlignment="true" applyProtection="false">
      <alignment horizontal="center" vertical="center"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6" fillId="7" borderId="1" xfId="0" applyFont="true" applyBorder="true" applyAlignment="true" applyProtection="false">
      <alignment horizontal="center" vertical="center" textRotation="0" wrapText="false" indent="0" shrinkToFit="false"/>
      <protection locked="true" hidden="false"/>
    </xf>
    <xf numFmtId="164" fontId="8" fillId="8" borderId="1" xfId="0" applyFont="true" applyBorder="true" applyAlignment="true" applyProtection="false">
      <alignment horizontal="left" vertical="top" textRotation="0" wrapText="true" indent="0" shrinkToFit="false"/>
      <protection locked="true" hidden="false"/>
    </xf>
    <xf numFmtId="164" fontId="9" fillId="8" borderId="1" xfId="0" applyFont="true" applyBorder="true" applyAlignment="true" applyProtection="false">
      <alignment horizontal="left" vertical="top" textRotation="0" wrapText="true" indent="0" shrinkToFit="false"/>
      <protection locked="true" hidden="false"/>
    </xf>
    <xf numFmtId="164" fontId="6" fillId="9" borderId="1" xfId="0" applyFont="true" applyBorder="true" applyAlignment="true" applyProtection="false">
      <alignment horizontal="center" vertical="center" textRotation="0" wrapText="false" indent="0" shrinkToFit="false"/>
      <protection locked="true" hidden="false"/>
    </xf>
    <xf numFmtId="164" fontId="6" fillId="10" borderId="1" xfId="0" applyFont="true" applyBorder="true" applyAlignment="true" applyProtection="false">
      <alignment horizontal="center" vertical="center" textRotation="0" wrapText="false" indent="0" shrinkToFit="false"/>
      <protection locked="true" hidden="false"/>
    </xf>
    <xf numFmtId="164" fontId="6" fillId="11"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11" fillId="12" borderId="1" xfId="0" applyFont="true" applyBorder="true" applyAlignment="true" applyProtection="false">
      <alignment horizontal="center" vertical="center" textRotation="0" wrapText="false" indent="0" shrinkToFit="false"/>
      <protection locked="true" hidden="false"/>
    </xf>
    <xf numFmtId="164" fontId="6" fillId="13" borderId="1" xfId="0" applyFont="true" applyBorder="true" applyAlignment="true" applyProtection="false">
      <alignment horizontal="center" vertical="center" textRotation="0" wrapText="false" indent="0" shrinkToFit="false"/>
      <protection locked="true" hidden="false"/>
    </xf>
    <xf numFmtId="164" fontId="11" fillId="14" borderId="1" xfId="0" applyFont="true" applyBorder="true" applyAlignment="true" applyProtection="false">
      <alignment horizontal="center" vertical="center" textRotation="0" wrapText="false" indent="0" shrinkToFit="false"/>
      <protection locked="true" hidden="false"/>
    </xf>
    <xf numFmtId="164" fontId="11" fillId="15"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center" vertical="top" textRotation="0" wrapText="true" indent="0" shrinkToFit="false"/>
      <protection locked="true" hidden="false"/>
    </xf>
    <xf numFmtId="164" fontId="12" fillId="15" borderId="1" xfId="0" applyFont="true" applyBorder="true" applyAlignment="true" applyProtection="false">
      <alignment horizontal="center" vertical="center" textRotation="0" wrapText="false" indent="0" shrinkToFit="false"/>
      <protection locked="true" hidden="false"/>
    </xf>
    <xf numFmtId="164" fontId="8" fillId="8" borderId="1" xfId="0" applyFont="true" applyBorder="true" applyAlignment="true" applyProtection="false">
      <alignment horizontal="center" vertical="top" textRotation="0" wrapText="true" indent="0" shrinkToFit="false"/>
      <protection locked="true" hidden="false"/>
    </xf>
    <xf numFmtId="164" fontId="12" fillId="12" borderId="1" xfId="0" applyFont="true" applyBorder="true" applyAlignment="true" applyProtection="false">
      <alignment horizontal="center" vertical="center" textRotation="0" wrapText="false" indent="0" shrinkToFit="false"/>
      <protection locked="true" hidden="false"/>
    </xf>
    <xf numFmtId="164" fontId="7" fillId="13" borderId="1" xfId="0" applyFont="true" applyBorder="true" applyAlignment="true" applyProtection="false">
      <alignment horizontal="center" vertical="center" textRotation="0" wrapText="false" indent="0" shrinkToFit="false"/>
      <protection locked="true" hidden="false"/>
    </xf>
    <xf numFmtId="164" fontId="7" fillId="11" borderId="1" xfId="0" applyFont="true" applyBorder="true" applyAlignment="true" applyProtection="false">
      <alignment horizontal="center" vertical="center" textRotation="0" wrapText="false" indent="0" shrinkToFit="false"/>
      <protection locked="true" hidden="false"/>
    </xf>
    <xf numFmtId="164" fontId="13" fillId="2" borderId="0" xfId="0" applyFont="true" applyBorder="true" applyAlignment="true" applyProtection="false">
      <alignment horizontal="center" vertical="center" textRotation="0" wrapText="false" indent="0" shrinkToFit="false"/>
      <protection locked="true" hidden="false"/>
    </xf>
    <xf numFmtId="164" fontId="14" fillId="4" borderId="0" xfId="0" applyFont="true" applyBorder="true" applyAlignment="true" applyProtection="false">
      <alignment horizontal="center" vertical="center" textRotation="0" wrapText="false" indent="0" shrinkToFit="false"/>
      <protection locked="true" hidden="false"/>
    </xf>
    <xf numFmtId="164" fontId="15" fillId="3" borderId="2" xfId="0" applyFont="true" applyBorder="true" applyAlignment="true" applyProtection="false">
      <alignment horizontal="left" vertical="center" textRotation="0" wrapText="false" indent="1" shrinkToFit="false"/>
      <protection locked="true" hidden="false"/>
    </xf>
    <xf numFmtId="164" fontId="9" fillId="6" borderId="2" xfId="0" applyFont="true" applyBorder="true" applyAlignment="true" applyProtection="false">
      <alignment horizontal="left" vertical="center" textRotation="0" wrapText="false" indent="1" shrinkToFit="false"/>
      <protection locked="true" hidden="false"/>
    </xf>
    <xf numFmtId="164" fontId="9" fillId="8" borderId="2" xfId="0" applyFont="true" applyBorder="true" applyAlignment="true" applyProtection="false">
      <alignment horizontal="left" vertical="center" textRotation="0" wrapText="false" indent="1" shrinkToFit="false"/>
      <protection locked="true" hidden="false"/>
    </xf>
    <xf numFmtId="164" fontId="16" fillId="4" borderId="0"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center" vertical="top" textRotation="0" wrapText="true" indent="0" shrinkToFit="false"/>
      <protection locked="true" hidden="false"/>
    </xf>
    <xf numFmtId="164" fontId="9" fillId="8" borderId="1" xfId="0" applyFont="true" applyBorder="true" applyAlignment="true" applyProtection="false">
      <alignment horizontal="center" vertical="top" textRotation="0" wrapText="true" indent="0" shrinkToFit="false"/>
      <protection locked="true" hidden="false"/>
    </xf>
    <xf numFmtId="164" fontId="17" fillId="3" borderId="2" xfId="0" applyFont="true" applyBorder="true" applyAlignment="true" applyProtection="false">
      <alignment horizontal="center" vertical="center" textRotation="0" wrapText="false" indent="0" shrinkToFit="false"/>
      <protection locked="true" hidden="false"/>
    </xf>
    <xf numFmtId="165" fontId="9" fillId="6" borderId="1" xfId="0" applyFont="true" applyBorder="true" applyAlignment="true" applyProtection="false">
      <alignment horizontal="center" vertical="center" textRotation="0" wrapText="false" indent="0" shrinkToFit="false"/>
      <protection locked="true" hidden="false"/>
    </xf>
    <xf numFmtId="165" fontId="9" fillId="8"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6" fontId="8" fillId="3"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18" fillId="2" borderId="0" xfId="0" applyFont="true" applyBorder="true" applyAlignment="true" applyProtection="false">
      <alignment horizontal="center" vertical="center" textRotation="0" wrapText="false" indent="0" shrinkToFit="false"/>
      <protection locked="true" hidden="false"/>
    </xf>
    <xf numFmtId="164" fontId="15" fillId="3" borderId="1" xfId="0" applyFont="true" applyBorder="true" applyAlignment="true" applyProtection="false">
      <alignment horizontal="left" vertical="center" textRotation="0" wrapText="false" indent="1" shrinkToFit="false"/>
      <protection locked="true" hidden="false"/>
    </xf>
    <xf numFmtId="164" fontId="9" fillId="6" borderId="1" xfId="0" applyFont="true" applyBorder="true" applyAlignment="true" applyProtection="false">
      <alignment horizontal="left" vertical="center" textRotation="0" wrapText="false" indent="1" shrinkToFit="false"/>
      <protection locked="true" hidden="false"/>
    </xf>
    <xf numFmtId="164" fontId="12" fillId="9"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19" fillId="6" borderId="1" xfId="0" applyFont="true" applyBorder="true" applyAlignment="true" applyProtection="false">
      <alignment horizontal="center" vertical="center" textRotation="0" wrapText="false" indent="0" shrinkToFit="false"/>
      <protection locked="true" hidden="false"/>
    </xf>
    <xf numFmtId="164" fontId="19" fillId="8" borderId="1" xfId="0" applyFont="true" applyBorder="true" applyAlignment="true" applyProtection="false">
      <alignment horizontal="center" vertical="center" textRotation="0" wrapText="false" indent="0" shrinkToFit="false"/>
      <protection locked="true" hidden="false"/>
    </xf>
    <xf numFmtId="164" fontId="8" fillId="8"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top" textRotation="0" wrapText="true" indent="0" shrinkToFit="false"/>
      <protection locked="true" hidden="false"/>
    </xf>
    <xf numFmtId="164" fontId="20" fillId="3" borderId="2" xfId="0" applyFont="true" applyBorder="true" applyAlignment="true" applyProtection="false">
      <alignment horizontal="center" vertical="center" textRotation="0" wrapText="false" indent="0" shrinkToFit="false"/>
      <protection locked="true" hidden="false"/>
    </xf>
    <xf numFmtId="166" fontId="9" fillId="6" borderId="1" xfId="0" applyFont="true" applyBorder="true" applyAlignment="true" applyProtection="false">
      <alignment horizontal="center" vertical="center" textRotation="0" wrapText="false" indent="0" shrinkToFit="false"/>
      <protection locked="true" hidden="false"/>
    </xf>
    <xf numFmtId="166" fontId="9" fillId="8" borderId="1" xfId="0" applyFont="true" applyBorder="true" applyAlignment="true" applyProtection="false">
      <alignment horizontal="center" vertical="center" textRotation="0" wrapText="false" indent="0" shrinkToFit="false"/>
      <protection locked="true" hidden="false"/>
    </xf>
    <xf numFmtId="164" fontId="20" fillId="3" borderId="2" xfId="0" applyFont="true" applyBorder="true" applyAlignment="true" applyProtection="false">
      <alignment horizontal="left" vertical="center"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BBBBB"/>
      <rgbColor rgb="FF808080"/>
      <rgbColor rgb="FF9999FF"/>
      <rgbColor rgb="FF993366"/>
      <rgbColor rgb="FFEEF4FB"/>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2D050"/>
      <rgbColor rgb="FFFFC000"/>
      <rgbColor rgb="FFBF8F00"/>
      <rgbColor rgb="FFE26B0A"/>
      <rgbColor rgb="FF666699"/>
      <rgbColor rgb="FF969696"/>
      <rgbColor rgb="FF1F3864"/>
      <rgbColor rgb="FF538135"/>
      <rgbColor rgb="FF003300"/>
      <rgbColor rgb="FF375623"/>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3" min="3" style="0" width="12"/>
    <col collapsed="false" customWidth="true" hidden="false" outlineLevel="0" max="4" min="4" style="0" width="45"/>
    <col collapsed="false" customWidth="true" hidden="false" outlineLevel="0" max="5" min="5" style="0" width="42"/>
    <col collapsed="false" customWidth="true" hidden="false" outlineLevel="0" max="6" min="6" style="0" width="20"/>
    <col collapsed="false" customWidth="true" hidden="false" outlineLevel="0" max="9" min="7" style="0" width="14"/>
  </cols>
  <sheetData>
    <row r="1" customFormat="false" ht="30" hidden="false" customHeight="true" outlineLevel="0" collapsed="false">
      <c r="A1" s="1" t="s">
        <v>0</v>
      </c>
      <c r="B1" s="1"/>
      <c r="C1" s="1"/>
      <c r="D1" s="1"/>
      <c r="E1" s="1"/>
      <c r="F1" s="1"/>
      <c r="G1" s="1"/>
      <c r="H1" s="1"/>
      <c r="I1" s="1"/>
    </row>
    <row r="2" customFormat="false" ht="24" hidden="false" customHeight="true" outlineLevel="0" collapsed="false">
      <c r="A2" s="2" t="s">
        <v>1</v>
      </c>
      <c r="B2" s="2"/>
      <c r="C2" s="2"/>
      <c r="D2" s="2"/>
      <c r="E2" s="2"/>
      <c r="F2" s="2"/>
      <c r="G2" s="2"/>
      <c r="H2" s="2"/>
      <c r="I2" s="2"/>
    </row>
    <row r="4" customFormat="false" ht="15" hidden="false" customHeight="false" outlineLevel="0" collapsed="false">
      <c r="A4" s="3" t="s">
        <v>2</v>
      </c>
      <c r="B4" s="3"/>
      <c r="C4" s="3"/>
      <c r="D4" s="3"/>
      <c r="E4" s="3"/>
      <c r="F4" s="3"/>
    </row>
    <row r="5" customFormat="false" ht="15" hidden="false" customHeight="false" outlineLevel="0" collapsed="false">
      <c r="A5" s="4" t="s">
        <v>3</v>
      </c>
      <c r="B5" s="4" t="s">
        <v>4</v>
      </c>
      <c r="C5" s="4" t="s">
        <v>5</v>
      </c>
      <c r="D5" s="4" t="s">
        <v>6</v>
      </c>
      <c r="E5" s="4" t="s">
        <v>7</v>
      </c>
      <c r="F5" s="4" t="s">
        <v>8</v>
      </c>
    </row>
    <row r="6" customFormat="false" ht="42" hidden="false" customHeight="true" outlineLevel="0" collapsed="false">
      <c r="A6" s="5" t="s">
        <v>9</v>
      </c>
      <c r="B6" s="6" t="s">
        <v>10</v>
      </c>
      <c r="C6" s="7" t="s">
        <v>11</v>
      </c>
      <c r="D6" s="7" t="s">
        <v>12</v>
      </c>
      <c r="E6" s="7" t="s">
        <v>13</v>
      </c>
      <c r="F6" s="7" t="s">
        <v>14</v>
      </c>
    </row>
    <row r="7" customFormat="false" ht="42" hidden="false" customHeight="true" outlineLevel="0" collapsed="false">
      <c r="A7" s="8" t="s">
        <v>15</v>
      </c>
      <c r="B7" s="9" t="s">
        <v>16</v>
      </c>
      <c r="C7" s="10" t="s">
        <v>17</v>
      </c>
      <c r="D7" s="10" t="s">
        <v>18</v>
      </c>
      <c r="E7" s="10" t="s">
        <v>19</v>
      </c>
      <c r="F7" s="10" t="s">
        <v>20</v>
      </c>
    </row>
    <row r="8" customFormat="false" ht="42" hidden="false" customHeight="true" outlineLevel="0" collapsed="false">
      <c r="A8" s="11" t="s">
        <v>21</v>
      </c>
      <c r="B8" s="6" t="s">
        <v>22</v>
      </c>
      <c r="C8" s="7" t="s">
        <v>23</v>
      </c>
      <c r="D8" s="7" t="s">
        <v>24</v>
      </c>
      <c r="E8" s="7" t="s">
        <v>25</v>
      </c>
      <c r="F8" s="7" t="s">
        <v>26</v>
      </c>
    </row>
    <row r="9" customFormat="false" ht="42" hidden="false" customHeight="true" outlineLevel="0" collapsed="false">
      <c r="A9" s="12" t="s">
        <v>27</v>
      </c>
      <c r="B9" s="9" t="s">
        <v>28</v>
      </c>
      <c r="C9" s="10" t="s">
        <v>29</v>
      </c>
      <c r="D9" s="10" t="s">
        <v>30</v>
      </c>
      <c r="E9" s="10" t="s">
        <v>31</v>
      </c>
      <c r="F9" s="10" t="s">
        <v>32</v>
      </c>
    </row>
    <row r="10" customFormat="false" ht="42" hidden="false" customHeight="true" outlineLevel="0" collapsed="false">
      <c r="A10" s="13" t="s">
        <v>33</v>
      </c>
      <c r="B10" s="6" t="s">
        <v>34</v>
      </c>
      <c r="C10" s="7" t="s">
        <v>35</v>
      </c>
      <c r="D10" s="7" t="s">
        <v>36</v>
      </c>
      <c r="E10" s="7" t="s">
        <v>37</v>
      </c>
      <c r="F10" s="7" t="s">
        <v>38</v>
      </c>
    </row>
    <row r="13" customFormat="false" ht="15" hidden="false" customHeight="false" outlineLevel="0" collapsed="false">
      <c r="A13" s="3" t="s">
        <v>39</v>
      </c>
      <c r="B13" s="3"/>
      <c r="C13" s="3"/>
      <c r="D13" s="3"/>
      <c r="E13" s="3"/>
      <c r="F13" s="3"/>
    </row>
    <row r="14" customFormat="false" ht="23.85" hidden="false" customHeight="false" outlineLevel="0" collapsed="false">
      <c r="A14" s="4" t="s">
        <v>3</v>
      </c>
      <c r="B14" s="4" t="s">
        <v>4</v>
      </c>
      <c r="C14" s="4" t="s">
        <v>40</v>
      </c>
      <c r="D14" s="4" t="s">
        <v>41</v>
      </c>
      <c r="E14" s="4" t="s">
        <v>42</v>
      </c>
      <c r="F14" s="4" t="s">
        <v>43</v>
      </c>
    </row>
    <row r="15" customFormat="false" ht="42" hidden="false" customHeight="true" outlineLevel="0" collapsed="false">
      <c r="A15" s="5" t="s">
        <v>9</v>
      </c>
      <c r="B15" s="6" t="s">
        <v>44</v>
      </c>
      <c r="C15" s="7" t="s">
        <v>45</v>
      </c>
      <c r="D15" s="7" t="s">
        <v>46</v>
      </c>
      <c r="E15" s="7" t="s">
        <v>47</v>
      </c>
      <c r="F15" s="7" t="s">
        <v>48</v>
      </c>
    </row>
    <row r="16" customFormat="false" ht="42" hidden="false" customHeight="true" outlineLevel="0" collapsed="false">
      <c r="A16" s="8" t="s">
        <v>15</v>
      </c>
      <c r="B16" s="9" t="s">
        <v>49</v>
      </c>
      <c r="C16" s="10" t="s">
        <v>50</v>
      </c>
      <c r="D16" s="10" t="s">
        <v>51</v>
      </c>
      <c r="E16" s="10" t="s">
        <v>52</v>
      </c>
      <c r="F16" s="10" t="s">
        <v>53</v>
      </c>
    </row>
    <row r="17" customFormat="false" ht="42" hidden="false" customHeight="true" outlineLevel="0" collapsed="false">
      <c r="A17" s="11" t="s">
        <v>21</v>
      </c>
      <c r="B17" s="6" t="s">
        <v>54</v>
      </c>
      <c r="C17" s="7" t="s">
        <v>55</v>
      </c>
      <c r="D17" s="7" t="s">
        <v>56</v>
      </c>
      <c r="E17" s="7" t="s">
        <v>57</v>
      </c>
      <c r="F17" s="7" t="s">
        <v>58</v>
      </c>
    </row>
    <row r="18" customFormat="false" ht="42" hidden="false" customHeight="true" outlineLevel="0" collapsed="false">
      <c r="A18" s="12" t="s">
        <v>27</v>
      </c>
      <c r="B18" s="9" t="s">
        <v>59</v>
      </c>
      <c r="C18" s="10" t="s">
        <v>60</v>
      </c>
      <c r="D18" s="10" t="s">
        <v>61</v>
      </c>
      <c r="E18" s="10" t="s">
        <v>62</v>
      </c>
      <c r="F18" s="10" t="s">
        <v>63</v>
      </c>
    </row>
    <row r="19" customFormat="false" ht="42" hidden="false" customHeight="true" outlineLevel="0" collapsed="false">
      <c r="A19" s="13" t="s">
        <v>33</v>
      </c>
      <c r="B19" s="6" t="s">
        <v>64</v>
      </c>
      <c r="C19" s="7" t="s">
        <v>65</v>
      </c>
      <c r="D19" s="7" t="s">
        <v>66</v>
      </c>
      <c r="E19" s="7" t="s">
        <v>67</v>
      </c>
      <c r="F19" s="7" t="s">
        <v>68</v>
      </c>
    </row>
    <row r="22" customFormat="false" ht="15" hidden="false" customHeight="false" outlineLevel="0" collapsed="false">
      <c r="A22" s="3" t="s">
        <v>69</v>
      </c>
      <c r="B22" s="3"/>
      <c r="C22" s="3"/>
      <c r="D22" s="3"/>
      <c r="E22" s="3"/>
      <c r="F22" s="3"/>
      <c r="G22" s="3"/>
      <c r="H22" s="3"/>
      <c r="I22" s="3"/>
    </row>
    <row r="23" customFormat="false" ht="15" hidden="false" customHeight="false" outlineLevel="0" collapsed="false">
      <c r="A23" s="14" t="s">
        <v>70</v>
      </c>
      <c r="B23" s="15" t="s">
        <v>71</v>
      </c>
      <c r="C23" s="15" t="s">
        <v>72</v>
      </c>
      <c r="D23" s="15" t="s">
        <v>73</v>
      </c>
      <c r="E23" s="15" t="s">
        <v>74</v>
      </c>
      <c r="F23" s="15" t="s">
        <v>75</v>
      </c>
    </row>
    <row r="24" customFormat="false" ht="21.75" hidden="false" customHeight="true" outlineLevel="0" collapsed="false">
      <c r="A24" s="15" t="s">
        <v>76</v>
      </c>
      <c r="B24" s="16" t="n">
        <v>5</v>
      </c>
      <c r="C24" s="17" t="n">
        <v>10</v>
      </c>
      <c r="D24" s="17" t="n">
        <v>15</v>
      </c>
      <c r="E24" s="17" t="n">
        <v>20</v>
      </c>
      <c r="F24" s="17" t="n">
        <v>25</v>
      </c>
    </row>
    <row r="25" customFormat="false" ht="21.75" hidden="false" customHeight="true" outlineLevel="0" collapsed="false">
      <c r="A25" s="15" t="s">
        <v>77</v>
      </c>
      <c r="B25" s="18" t="n">
        <v>4</v>
      </c>
      <c r="C25" s="16" t="n">
        <v>8</v>
      </c>
      <c r="D25" s="17" t="n">
        <v>12</v>
      </c>
      <c r="E25" s="17" t="n">
        <v>16</v>
      </c>
      <c r="F25" s="17" t="n">
        <v>20</v>
      </c>
    </row>
    <row r="26" customFormat="false" ht="21.75" hidden="false" customHeight="true" outlineLevel="0" collapsed="false">
      <c r="A26" s="15" t="s">
        <v>78</v>
      </c>
      <c r="B26" s="18" t="n">
        <v>3</v>
      </c>
      <c r="C26" s="18" t="n">
        <v>6</v>
      </c>
      <c r="D26" s="16" t="n">
        <v>9</v>
      </c>
      <c r="E26" s="17" t="n">
        <v>12</v>
      </c>
      <c r="F26" s="17" t="n">
        <v>15</v>
      </c>
    </row>
    <row r="27" customFormat="false" ht="21.75" hidden="false" customHeight="true" outlineLevel="0" collapsed="false">
      <c r="A27" s="15" t="s">
        <v>79</v>
      </c>
      <c r="B27" s="19" t="n">
        <v>2</v>
      </c>
      <c r="C27" s="18" t="n">
        <v>4</v>
      </c>
      <c r="D27" s="18" t="n">
        <v>6</v>
      </c>
      <c r="E27" s="16" t="n">
        <v>8</v>
      </c>
      <c r="F27" s="17" t="n">
        <v>10</v>
      </c>
    </row>
    <row r="28" customFormat="false" ht="21.75" hidden="false" customHeight="true" outlineLevel="0" collapsed="false">
      <c r="A28" s="15" t="s">
        <v>80</v>
      </c>
      <c r="B28" s="19" t="n">
        <v>1</v>
      </c>
      <c r="C28" s="19" t="n">
        <v>2</v>
      </c>
      <c r="D28" s="18" t="n">
        <v>3</v>
      </c>
      <c r="E28" s="18" t="n">
        <v>4</v>
      </c>
      <c r="F28" s="16" t="n">
        <v>5</v>
      </c>
    </row>
    <row r="31" customFormat="false" ht="15" hidden="false" customHeight="false" outlineLevel="0" collapsed="false">
      <c r="A31" s="3" t="s">
        <v>81</v>
      </c>
      <c r="B31" s="3"/>
      <c r="C31" s="3"/>
      <c r="D31" s="3"/>
      <c r="E31" s="3"/>
      <c r="F31" s="3"/>
      <c r="G31" s="3"/>
      <c r="H31" s="3"/>
      <c r="I31" s="3"/>
    </row>
    <row r="32" customFormat="false" ht="46.25" hidden="false" customHeight="false" outlineLevel="0" collapsed="false">
      <c r="A32" s="4" t="s">
        <v>82</v>
      </c>
      <c r="B32" s="4" t="s">
        <v>4</v>
      </c>
      <c r="C32" s="4" t="s">
        <v>83</v>
      </c>
    </row>
    <row r="33" customFormat="false" ht="36" hidden="false" customHeight="true" outlineLevel="0" collapsed="false">
      <c r="A33" s="20" t="s">
        <v>84</v>
      </c>
      <c r="B33" s="21" t="s">
        <v>85</v>
      </c>
      <c r="C33" s="7"/>
      <c r="D33" s="7" t="s">
        <v>86</v>
      </c>
    </row>
    <row r="34" customFormat="false" ht="36" hidden="false" customHeight="true" outlineLevel="0" collapsed="false">
      <c r="A34" s="22" t="s">
        <v>87</v>
      </c>
      <c r="B34" s="23" t="s">
        <v>88</v>
      </c>
      <c r="C34" s="10"/>
      <c r="D34" s="10" t="s">
        <v>89</v>
      </c>
    </row>
    <row r="35" customFormat="false" ht="36" hidden="false" customHeight="true" outlineLevel="0" collapsed="false">
      <c r="A35" s="20" t="s">
        <v>90</v>
      </c>
      <c r="B35" s="24" t="s">
        <v>91</v>
      </c>
      <c r="C35" s="7"/>
      <c r="D35" s="7" t="s">
        <v>92</v>
      </c>
    </row>
    <row r="36" customFormat="false" ht="36" hidden="false" customHeight="true" outlineLevel="0" collapsed="false">
      <c r="A36" s="22" t="s">
        <v>93</v>
      </c>
      <c r="B36" s="25" t="s">
        <v>94</v>
      </c>
      <c r="C36" s="10"/>
      <c r="D36" s="10" t="s">
        <v>95</v>
      </c>
    </row>
  </sheetData>
  <mergeCells count="6">
    <mergeCell ref="A1:I1"/>
    <mergeCell ref="A2:I2"/>
    <mergeCell ref="A4:F4"/>
    <mergeCell ref="A13:F13"/>
    <mergeCell ref="A22:I22"/>
    <mergeCell ref="A31:I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
    <col collapsed="false" customWidth="true" hidden="false" outlineLevel="0" max="3" min="3" style="0" width="30"/>
    <col collapsed="false" customWidth="true" hidden="false" outlineLevel="0" max="4" min="4" style="0" width="55"/>
  </cols>
  <sheetData>
    <row r="1" customFormat="false" ht="27.75" hidden="false" customHeight="true" outlineLevel="0" collapsed="false">
      <c r="A1" s="26" t="s">
        <v>96</v>
      </c>
      <c r="B1" s="26"/>
      <c r="C1" s="26"/>
      <c r="D1" s="26"/>
      <c r="E1" s="26"/>
      <c r="F1" s="26"/>
      <c r="G1" s="26"/>
      <c r="H1" s="26"/>
      <c r="I1" s="26"/>
      <c r="J1" s="26"/>
    </row>
    <row r="2" customFormat="false" ht="27.75" hidden="false" customHeight="true" outlineLevel="0" collapsed="false">
      <c r="A2" s="26"/>
      <c r="B2" s="26"/>
      <c r="C2" s="26"/>
      <c r="D2" s="26"/>
      <c r="E2" s="26"/>
      <c r="F2" s="26"/>
      <c r="G2" s="26"/>
      <c r="H2" s="26"/>
      <c r="I2" s="26"/>
      <c r="J2" s="26"/>
    </row>
    <row r="3" customFormat="false" ht="27.75" hidden="false" customHeight="true" outlineLevel="0" collapsed="false">
      <c r="A3" s="26"/>
      <c r="B3" s="26"/>
      <c r="C3" s="26"/>
      <c r="D3" s="26"/>
      <c r="E3" s="26"/>
      <c r="F3" s="26"/>
      <c r="G3" s="26"/>
      <c r="H3" s="26"/>
      <c r="I3" s="26"/>
      <c r="J3" s="26"/>
    </row>
    <row r="4" customFormat="false" ht="27.75" hidden="false" customHeight="true" outlineLevel="0" collapsed="false">
      <c r="A4" s="27" t="s">
        <v>97</v>
      </c>
      <c r="B4" s="27"/>
      <c r="C4" s="27"/>
      <c r="D4" s="27"/>
      <c r="E4" s="27"/>
      <c r="F4" s="27"/>
      <c r="G4" s="27"/>
      <c r="H4" s="27"/>
      <c r="I4" s="27"/>
      <c r="J4" s="27"/>
    </row>
    <row r="5" customFormat="false" ht="27.75" hidden="false" customHeight="true" outlineLevel="0" collapsed="false">
      <c r="A5" s="27"/>
      <c r="B5" s="27"/>
      <c r="C5" s="27"/>
      <c r="D5" s="27"/>
      <c r="E5" s="27"/>
      <c r="F5" s="27"/>
      <c r="G5" s="27"/>
      <c r="H5" s="27"/>
      <c r="I5" s="27"/>
      <c r="J5" s="27"/>
    </row>
    <row r="7" customFormat="false" ht="19.5" hidden="false" customHeight="true" outlineLevel="0" collapsed="false">
      <c r="B7" s="28" t="s">
        <v>98</v>
      </c>
      <c r="C7" s="28"/>
      <c r="D7" s="28"/>
      <c r="E7" s="29" t="s">
        <v>99</v>
      </c>
      <c r="F7" s="29"/>
      <c r="G7" s="29"/>
      <c r="H7" s="29"/>
    </row>
    <row r="8" customFormat="false" ht="19.5" hidden="false" customHeight="true" outlineLevel="0" collapsed="false">
      <c r="B8" s="28" t="s">
        <v>100</v>
      </c>
      <c r="C8" s="28"/>
      <c r="D8" s="28"/>
      <c r="E8" s="30" t="s">
        <v>101</v>
      </c>
      <c r="F8" s="30"/>
      <c r="G8" s="30"/>
      <c r="H8" s="30"/>
    </row>
    <row r="9" customFormat="false" ht="19.5" hidden="false" customHeight="true" outlineLevel="0" collapsed="false">
      <c r="B9" s="28" t="s">
        <v>102</v>
      </c>
      <c r="C9" s="28"/>
      <c r="D9" s="28"/>
      <c r="E9" s="29" t="s">
        <v>103</v>
      </c>
      <c r="F9" s="29"/>
      <c r="G9" s="29"/>
      <c r="H9" s="29"/>
    </row>
    <row r="10" customFormat="false" ht="19.5" hidden="false" customHeight="true" outlineLevel="0" collapsed="false">
      <c r="B10" s="28" t="s">
        <v>104</v>
      </c>
      <c r="C10" s="28"/>
      <c r="D10" s="28"/>
      <c r="E10" s="30" t="s">
        <v>105</v>
      </c>
      <c r="F10" s="30"/>
      <c r="G10" s="30"/>
      <c r="H10" s="30"/>
    </row>
    <row r="11" customFormat="false" ht="19.5" hidden="false" customHeight="true" outlineLevel="0" collapsed="false">
      <c r="B11" s="28" t="s">
        <v>106</v>
      </c>
      <c r="C11" s="28"/>
      <c r="D11" s="28"/>
      <c r="E11" s="29" t="s">
        <v>107</v>
      </c>
      <c r="F11" s="29"/>
      <c r="G11" s="29"/>
      <c r="H11" s="29"/>
    </row>
    <row r="12" customFormat="false" ht="19.5" hidden="false" customHeight="true" outlineLevel="0" collapsed="false">
      <c r="B12" s="28" t="s">
        <v>108</v>
      </c>
      <c r="C12" s="28"/>
      <c r="D12" s="28"/>
      <c r="E12" s="30" t="s">
        <v>109</v>
      </c>
      <c r="F12" s="30"/>
      <c r="G12" s="30"/>
      <c r="H12" s="30"/>
    </row>
    <row r="13" customFormat="false" ht="19.5" hidden="false" customHeight="true" outlineLevel="0" collapsed="false">
      <c r="B13" s="28" t="s">
        <v>110</v>
      </c>
      <c r="C13" s="28"/>
      <c r="D13" s="28"/>
      <c r="E13" s="29" t="s">
        <v>111</v>
      </c>
      <c r="F13" s="29"/>
      <c r="G13" s="29"/>
      <c r="H13" s="29"/>
    </row>
    <row r="14" customFormat="false" ht="19.5" hidden="false" customHeight="true" outlineLevel="0" collapsed="false">
      <c r="B14" s="28" t="s">
        <v>112</v>
      </c>
      <c r="C14" s="28"/>
      <c r="D14" s="28"/>
      <c r="E14" s="30" t="s">
        <v>113</v>
      </c>
      <c r="F14" s="30"/>
      <c r="G14" s="30"/>
      <c r="H14" s="30"/>
    </row>
    <row r="15" customFormat="false" ht="19.5" hidden="false" customHeight="true" outlineLevel="0" collapsed="false">
      <c r="B15" s="28" t="s">
        <v>114</v>
      </c>
      <c r="C15" s="28"/>
      <c r="D15" s="28"/>
      <c r="E15" s="29" t="s">
        <v>115</v>
      </c>
      <c r="F15" s="29"/>
      <c r="G15" s="29"/>
      <c r="H15" s="29"/>
    </row>
    <row r="18" customFormat="false" ht="21.75" hidden="false" customHeight="true" outlineLevel="0" collapsed="false">
      <c r="B18" s="31" t="s">
        <v>116</v>
      </c>
      <c r="C18" s="31"/>
      <c r="D18" s="31"/>
      <c r="E18" s="31"/>
      <c r="F18" s="31"/>
      <c r="G18" s="31"/>
      <c r="H18" s="31"/>
    </row>
    <row r="19" customFormat="false" ht="15" hidden="false" customHeight="false" outlineLevel="0" collapsed="false">
      <c r="B19" s="4" t="s">
        <v>117</v>
      </c>
      <c r="C19" s="4" t="s">
        <v>118</v>
      </c>
      <c r="D19" s="4" t="s">
        <v>6</v>
      </c>
    </row>
    <row r="20" customFormat="false" ht="39.75" hidden="false" customHeight="true" outlineLevel="0" collapsed="false">
      <c r="B20" s="32" t="s">
        <v>9</v>
      </c>
      <c r="C20" s="6" t="s">
        <v>119</v>
      </c>
      <c r="D20" s="7" t="s">
        <v>120</v>
      </c>
    </row>
    <row r="21" customFormat="false" ht="39.75" hidden="false" customHeight="true" outlineLevel="0" collapsed="false">
      <c r="B21" s="33" t="s">
        <v>15</v>
      </c>
      <c r="C21" s="9" t="s">
        <v>121</v>
      </c>
      <c r="D21" s="10" t="s">
        <v>122</v>
      </c>
    </row>
    <row r="22" customFormat="false" ht="39.75" hidden="false" customHeight="true" outlineLevel="0" collapsed="false">
      <c r="B22" s="32" t="s">
        <v>21</v>
      </c>
      <c r="C22" s="6" t="s">
        <v>123</v>
      </c>
      <c r="D22" s="7" t="s">
        <v>124</v>
      </c>
    </row>
    <row r="23" customFormat="false" ht="39.75" hidden="false" customHeight="true" outlineLevel="0" collapsed="false">
      <c r="B23" s="33" t="s">
        <v>27</v>
      </c>
      <c r="C23" s="9" t="s">
        <v>125</v>
      </c>
      <c r="D23" s="10" t="s">
        <v>126</v>
      </c>
    </row>
    <row r="26" customFormat="false" ht="21.75" hidden="false" customHeight="true" outlineLevel="0" collapsed="false">
      <c r="B26" s="34" t="s">
        <v>127</v>
      </c>
      <c r="C26" s="34"/>
      <c r="D26" s="34"/>
      <c r="E26" s="34"/>
      <c r="F26" s="34"/>
      <c r="G26" s="34"/>
      <c r="H26" s="34"/>
    </row>
  </sheetData>
  <mergeCells count="22">
    <mergeCell ref="A1:J3"/>
    <mergeCell ref="A4:J5"/>
    <mergeCell ref="B7:D7"/>
    <mergeCell ref="E7:H7"/>
    <mergeCell ref="B8:D8"/>
    <mergeCell ref="E8:H8"/>
    <mergeCell ref="B9:D9"/>
    <mergeCell ref="E9:H9"/>
    <mergeCell ref="B10:D10"/>
    <mergeCell ref="E10:H10"/>
    <mergeCell ref="B11:D11"/>
    <mergeCell ref="E11:H11"/>
    <mergeCell ref="B12:D12"/>
    <mergeCell ref="E12:H12"/>
    <mergeCell ref="B13:D13"/>
    <mergeCell ref="E13:H13"/>
    <mergeCell ref="B14:D14"/>
    <mergeCell ref="E14:H14"/>
    <mergeCell ref="B15:D15"/>
    <mergeCell ref="E15:H15"/>
    <mergeCell ref="B18:H18"/>
    <mergeCell ref="B26:H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28"/>
    <col collapsed="false" customWidth="true" hidden="false" outlineLevel="0" max="4" min="4" style="0" width="48"/>
    <col collapsed="false" customWidth="true" hidden="false" outlineLevel="0" max="5" min="5" style="0" width="38"/>
    <col collapsed="false" customWidth="true" hidden="false" outlineLevel="0" max="6" min="6" style="0" width="44"/>
    <col collapsed="false" customWidth="true" hidden="false" outlineLevel="0" max="8" min="7" style="0" width="16"/>
  </cols>
  <sheetData>
    <row r="1" customFormat="false" ht="30" hidden="false" customHeight="true" outlineLevel="0" collapsed="false">
      <c r="A1" s="1" t="s">
        <v>128</v>
      </c>
      <c r="B1" s="1"/>
      <c r="C1" s="1"/>
      <c r="D1" s="1"/>
      <c r="E1" s="1"/>
      <c r="F1" s="1"/>
      <c r="G1" s="1"/>
      <c r="H1" s="1"/>
    </row>
    <row r="2" customFormat="false" ht="27.75" hidden="false" customHeight="true" outlineLevel="0" collapsed="false">
      <c r="A2" s="2" t="s">
        <v>129</v>
      </c>
      <c r="B2" s="2"/>
      <c r="C2" s="2"/>
      <c r="D2" s="2"/>
      <c r="E2" s="2"/>
      <c r="F2" s="2"/>
      <c r="G2" s="2"/>
      <c r="H2" s="2"/>
    </row>
    <row r="4" customFormat="false" ht="31.5" hidden="false" customHeight="true" outlineLevel="0" collapsed="false">
      <c r="A4" s="4" t="s">
        <v>130</v>
      </c>
      <c r="B4" s="4" t="s">
        <v>131</v>
      </c>
      <c r="C4" s="4" t="s">
        <v>132</v>
      </c>
      <c r="D4" s="4" t="s">
        <v>6</v>
      </c>
      <c r="E4" s="4" t="s">
        <v>133</v>
      </c>
      <c r="F4" s="4" t="s">
        <v>134</v>
      </c>
      <c r="G4" s="4" t="s">
        <v>135</v>
      </c>
      <c r="H4" s="4" t="s">
        <v>136</v>
      </c>
    </row>
    <row r="5" customFormat="false" ht="51.75" hidden="false" customHeight="true" outlineLevel="0" collapsed="false">
      <c r="A5" s="20" t="s">
        <v>137</v>
      </c>
      <c r="B5" s="7" t="s">
        <v>138</v>
      </c>
      <c r="C5" s="7" t="s">
        <v>139</v>
      </c>
      <c r="D5" s="7" t="s">
        <v>140</v>
      </c>
      <c r="E5" s="7" t="s">
        <v>141</v>
      </c>
      <c r="F5" s="7" t="s">
        <v>142</v>
      </c>
      <c r="G5" s="7" t="s">
        <v>143</v>
      </c>
      <c r="H5" s="7" t="s">
        <v>144</v>
      </c>
    </row>
    <row r="6" customFormat="false" ht="51.75" hidden="false" customHeight="true" outlineLevel="0" collapsed="false">
      <c r="A6" s="22" t="s">
        <v>145</v>
      </c>
      <c r="B6" s="10" t="s">
        <v>138</v>
      </c>
      <c r="C6" s="10" t="s">
        <v>146</v>
      </c>
      <c r="D6" s="10" t="s">
        <v>147</v>
      </c>
      <c r="E6" s="10" t="s">
        <v>148</v>
      </c>
      <c r="F6" s="10" t="s">
        <v>149</v>
      </c>
      <c r="G6" s="10" t="s">
        <v>150</v>
      </c>
      <c r="H6" s="10" t="s">
        <v>151</v>
      </c>
    </row>
    <row r="7" customFormat="false" ht="51.75" hidden="false" customHeight="true" outlineLevel="0" collapsed="false">
      <c r="A7" s="20" t="s">
        <v>152</v>
      </c>
      <c r="B7" s="7" t="s">
        <v>138</v>
      </c>
      <c r="C7" s="7" t="s">
        <v>153</v>
      </c>
      <c r="D7" s="7" t="s">
        <v>154</v>
      </c>
      <c r="E7" s="7" t="s">
        <v>155</v>
      </c>
      <c r="F7" s="7" t="s">
        <v>156</v>
      </c>
      <c r="G7" s="7" t="s">
        <v>157</v>
      </c>
      <c r="H7" s="7" t="s">
        <v>158</v>
      </c>
    </row>
    <row r="8" customFormat="false" ht="51.75" hidden="false" customHeight="true" outlineLevel="0" collapsed="false">
      <c r="A8" s="22" t="s">
        <v>159</v>
      </c>
      <c r="B8" s="10" t="s">
        <v>138</v>
      </c>
      <c r="C8" s="10" t="s">
        <v>160</v>
      </c>
      <c r="D8" s="10" t="s">
        <v>161</v>
      </c>
      <c r="E8" s="10" t="s">
        <v>162</v>
      </c>
      <c r="F8" s="10" t="s">
        <v>163</v>
      </c>
      <c r="G8" s="10" t="s">
        <v>150</v>
      </c>
      <c r="H8" s="10" t="s">
        <v>151</v>
      </c>
    </row>
    <row r="9" customFormat="false" ht="51.75" hidden="false" customHeight="true" outlineLevel="0" collapsed="false">
      <c r="A9" s="20" t="s">
        <v>164</v>
      </c>
      <c r="B9" s="7" t="s">
        <v>165</v>
      </c>
      <c r="C9" s="7" t="s">
        <v>166</v>
      </c>
      <c r="D9" s="7" t="s">
        <v>167</v>
      </c>
      <c r="E9" s="7" t="s">
        <v>168</v>
      </c>
      <c r="F9" s="7" t="s">
        <v>169</v>
      </c>
      <c r="G9" s="7" t="s">
        <v>170</v>
      </c>
      <c r="H9" s="7" t="s">
        <v>171</v>
      </c>
    </row>
    <row r="10" customFormat="false" ht="51.75" hidden="false" customHeight="true" outlineLevel="0" collapsed="false">
      <c r="A10" s="22" t="s">
        <v>172</v>
      </c>
      <c r="B10" s="10" t="s">
        <v>165</v>
      </c>
      <c r="C10" s="10" t="s">
        <v>173</v>
      </c>
      <c r="D10" s="10" t="s">
        <v>174</v>
      </c>
      <c r="E10" s="10" t="s">
        <v>175</v>
      </c>
      <c r="F10" s="10" t="s">
        <v>176</v>
      </c>
      <c r="G10" s="10" t="s">
        <v>177</v>
      </c>
      <c r="H10" s="10" t="s">
        <v>178</v>
      </c>
    </row>
    <row r="11" customFormat="false" ht="51.75" hidden="false" customHeight="true" outlineLevel="0" collapsed="false">
      <c r="A11" s="20" t="s">
        <v>179</v>
      </c>
      <c r="B11" s="7" t="s">
        <v>165</v>
      </c>
      <c r="C11" s="7" t="s">
        <v>180</v>
      </c>
      <c r="D11" s="7" t="s">
        <v>181</v>
      </c>
      <c r="E11" s="7" t="s">
        <v>182</v>
      </c>
      <c r="F11" s="7" t="s">
        <v>183</v>
      </c>
      <c r="G11" s="7" t="s">
        <v>184</v>
      </c>
      <c r="H11" s="7" t="s">
        <v>185</v>
      </c>
    </row>
    <row r="12" customFormat="false" ht="51.75" hidden="false" customHeight="true" outlineLevel="0" collapsed="false">
      <c r="A12" s="22" t="s">
        <v>186</v>
      </c>
      <c r="B12" s="10" t="s">
        <v>187</v>
      </c>
      <c r="C12" s="10" t="s">
        <v>188</v>
      </c>
      <c r="D12" s="10" t="s">
        <v>189</v>
      </c>
      <c r="E12" s="10" t="s">
        <v>190</v>
      </c>
      <c r="F12" s="10" t="s">
        <v>191</v>
      </c>
      <c r="G12" s="10" t="s">
        <v>192</v>
      </c>
      <c r="H12" s="10" t="s">
        <v>193</v>
      </c>
    </row>
    <row r="13" customFormat="false" ht="51.75" hidden="false" customHeight="true" outlineLevel="0" collapsed="false">
      <c r="A13" s="20" t="s">
        <v>194</v>
      </c>
      <c r="B13" s="7" t="s">
        <v>187</v>
      </c>
      <c r="C13" s="7" t="s">
        <v>195</v>
      </c>
      <c r="D13" s="7" t="s">
        <v>196</v>
      </c>
      <c r="E13" s="7" t="s">
        <v>197</v>
      </c>
      <c r="F13" s="7" t="s">
        <v>198</v>
      </c>
      <c r="G13" s="7" t="s">
        <v>199</v>
      </c>
      <c r="H13" s="7" t="s">
        <v>200</v>
      </c>
    </row>
    <row r="14" customFormat="false" ht="51.75" hidden="false" customHeight="true" outlineLevel="0" collapsed="false">
      <c r="A14" s="22" t="s">
        <v>201</v>
      </c>
      <c r="B14" s="10" t="s">
        <v>187</v>
      </c>
      <c r="C14" s="10" t="s">
        <v>202</v>
      </c>
      <c r="D14" s="10" t="s">
        <v>203</v>
      </c>
      <c r="E14" s="10" t="s">
        <v>204</v>
      </c>
      <c r="F14" s="10" t="s">
        <v>205</v>
      </c>
      <c r="G14" s="10" t="s">
        <v>206</v>
      </c>
      <c r="H14" s="10" t="s">
        <v>193</v>
      </c>
    </row>
    <row r="15" customFormat="false" ht="51.75" hidden="false" customHeight="true" outlineLevel="0" collapsed="false">
      <c r="A15" s="20" t="s">
        <v>207</v>
      </c>
      <c r="B15" s="7" t="s">
        <v>208</v>
      </c>
      <c r="C15" s="7" t="s">
        <v>209</v>
      </c>
      <c r="D15" s="7" t="s">
        <v>210</v>
      </c>
      <c r="E15" s="7" t="s">
        <v>211</v>
      </c>
      <c r="F15" s="7" t="s">
        <v>212</v>
      </c>
      <c r="G15" s="7" t="s">
        <v>199</v>
      </c>
      <c r="H15" s="7" t="s">
        <v>213</v>
      </c>
    </row>
    <row r="16" customFormat="false" ht="51.75" hidden="false" customHeight="true" outlineLevel="0" collapsed="false">
      <c r="A16" s="22" t="s">
        <v>214</v>
      </c>
      <c r="B16" s="10" t="s">
        <v>208</v>
      </c>
      <c r="C16" s="10" t="s">
        <v>215</v>
      </c>
      <c r="D16" s="10" t="s">
        <v>216</v>
      </c>
      <c r="E16" s="10" t="s">
        <v>217</v>
      </c>
      <c r="F16" s="10" t="s">
        <v>218</v>
      </c>
      <c r="G16" s="10" t="s">
        <v>219</v>
      </c>
      <c r="H16" s="10" t="s">
        <v>220</v>
      </c>
    </row>
    <row r="17" customFormat="false" ht="51.75" hidden="false" customHeight="true" outlineLevel="0" collapsed="false">
      <c r="A17" s="20" t="s">
        <v>221</v>
      </c>
      <c r="B17" s="7" t="s">
        <v>208</v>
      </c>
      <c r="C17" s="7" t="s">
        <v>222</v>
      </c>
      <c r="D17" s="7" t="s">
        <v>223</v>
      </c>
      <c r="E17" s="7" t="s">
        <v>224</v>
      </c>
      <c r="F17" s="7" t="s">
        <v>225</v>
      </c>
      <c r="G17" s="7" t="s">
        <v>226</v>
      </c>
      <c r="H17" s="7" t="s">
        <v>227</v>
      </c>
    </row>
    <row r="18" customFormat="false" ht="51.75" hidden="false" customHeight="true" outlineLevel="0" collapsed="false">
      <c r="A18" s="22" t="s">
        <v>228</v>
      </c>
      <c r="B18" s="10" t="s">
        <v>208</v>
      </c>
      <c r="C18" s="10" t="s">
        <v>229</v>
      </c>
      <c r="D18" s="10" t="s">
        <v>230</v>
      </c>
      <c r="E18" s="10" t="s">
        <v>231</v>
      </c>
      <c r="F18" s="10" t="s">
        <v>232</v>
      </c>
      <c r="G18" s="10" t="s">
        <v>219</v>
      </c>
      <c r="H18" s="10" t="s">
        <v>233</v>
      </c>
    </row>
    <row r="19" customFormat="false" ht="51.75" hidden="false" customHeight="true" outlineLevel="0" collapsed="false">
      <c r="A19" s="20" t="s">
        <v>234</v>
      </c>
      <c r="B19" s="7" t="s">
        <v>235</v>
      </c>
      <c r="C19" s="7" t="s">
        <v>236</v>
      </c>
      <c r="D19" s="7" t="s">
        <v>237</v>
      </c>
      <c r="E19" s="7" t="s">
        <v>238</v>
      </c>
      <c r="F19" s="7" t="s">
        <v>239</v>
      </c>
      <c r="G19" s="7" t="s">
        <v>240</v>
      </c>
      <c r="H19" s="7" t="s">
        <v>241</v>
      </c>
    </row>
    <row r="20" customFormat="false" ht="51.75" hidden="false" customHeight="true" outlineLevel="0" collapsed="false">
      <c r="A20" s="22" t="s">
        <v>242</v>
      </c>
      <c r="B20" s="10" t="s">
        <v>235</v>
      </c>
      <c r="C20" s="10" t="s">
        <v>243</v>
      </c>
      <c r="D20" s="10" t="s">
        <v>244</v>
      </c>
      <c r="E20" s="10" t="s">
        <v>245</v>
      </c>
      <c r="F20" s="10" t="s">
        <v>246</v>
      </c>
      <c r="G20" s="10" t="s">
        <v>247</v>
      </c>
      <c r="H20" s="10" t="s">
        <v>248</v>
      </c>
    </row>
    <row r="21" customFormat="false" ht="51.75" hidden="false" customHeight="true" outlineLevel="0" collapsed="false">
      <c r="A21" s="20" t="s">
        <v>249</v>
      </c>
      <c r="B21" s="7" t="s">
        <v>235</v>
      </c>
      <c r="C21" s="7" t="s">
        <v>250</v>
      </c>
      <c r="D21" s="7" t="s">
        <v>251</v>
      </c>
      <c r="E21" s="7" t="s">
        <v>252</v>
      </c>
      <c r="F21" s="7" t="s">
        <v>253</v>
      </c>
      <c r="G21" s="7" t="s">
        <v>199</v>
      </c>
      <c r="H21" s="7" t="s">
        <v>254</v>
      </c>
    </row>
    <row r="22" customFormat="false" ht="51.75" hidden="false" customHeight="true" outlineLevel="0" collapsed="false">
      <c r="A22" s="22" t="s">
        <v>255</v>
      </c>
      <c r="B22" s="10" t="s">
        <v>256</v>
      </c>
      <c r="C22" s="10" t="s">
        <v>257</v>
      </c>
      <c r="D22" s="10" t="s">
        <v>258</v>
      </c>
      <c r="E22" s="10" t="s">
        <v>259</v>
      </c>
      <c r="F22" s="10" t="s">
        <v>260</v>
      </c>
      <c r="G22" s="10" t="s">
        <v>261</v>
      </c>
      <c r="H22" s="10" t="s">
        <v>262</v>
      </c>
    </row>
    <row r="23" customFormat="false" ht="51.75" hidden="false" customHeight="true" outlineLevel="0" collapsed="false">
      <c r="A23" s="20" t="s">
        <v>263</v>
      </c>
      <c r="B23" s="7" t="s">
        <v>256</v>
      </c>
      <c r="C23" s="7" t="s">
        <v>264</v>
      </c>
      <c r="D23" s="7" t="s">
        <v>265</v>
      </c>
      <c r="E23" s="7" t="s">
        <v>266</v>
      </c>
      <c r="F23" s="7" t="s">
        <v>267</v>
      </c>
      <c r="G23" s="7" t="s">
        <v>268</v>
      </c>
      <c r="H23" s="7" t="s">
        <v>269</v>
      </c>
    </row>
    <row r="24" customFormat="false" ht="51.75" hidden="false" customHeight="true" outlineLevel="0" collapsed="false">
      <c r="A24" s="22" t="s">
        <v>270</v>
      </c>
      <c r="B24" s="10" t="s">
        <v>256</v>
      </c>
      <c r="C24" s="10" t="s">
        <v>271</v>
      </c>
      <c r="D24" s="10" t="s">
        <v>272</v>
      </c>
      <c r="E24" s="10" t="s">
        <v>273</v>
      </c>
      <c r="F24" s="10" t="s">
        <v>274</v>
      </c>
      <c r="G24" s="10" t="s">
        <v>275</v>
      </c>
      <c r="H24" s="10" t="s">
        <v>200</v>
      </c>
    </row>
    <row r="25" customFormat="false" ht="51.75" hidden="false" customHeight="true" outlineLevel="0" collapsed="false">
      <c r="A25" s="20" t="s">
        <v>276</v>
      </c>
      <c r="B25" s="7" t="s">
        <v>277</v>
      </c>
      <c r="C25" s="7" t="s">
        <v>278</v>
      </c>
      <c r="D25" s="7" t="s">
        <v>279</v>
      </c>
      <c r="E25" s="7" t="s">
        <v>280</v>
      </c>
      <c r="F25" s="7" t="s">
        <v>281</v>
      </c>
      <c r="G25" s="7" t="s">
        <v>282</v>
      </c>
      <c r="H25" s="7" t="s">
        <v>151</v>
      </c>
    </row>
    <row r="26" customFormat="false" ht="51.75" hidden="false" customHeight="true" outlineLevel="0" collapsed="false">
      <c r="A26" s="22" t="s">
        <v>283</v>
      </c>
      <c r="B26" s="10" t="s">
        <v>277</v>
      </c>
      <c r="C26" s="10" t="s">
        <v>284</v>
      </c>
      <c r="D26" s="10" t="s">
        <v>285</v>
      </c>
      <c r="E26" s="10" t="s">
        <v>286</v>
      </c>
      <c r="F26" s="10" t="s">
        <v>287</v>
      </c>
      <c r="G26" s="10" t="s">
        <v>288</v>
      </c>
      <c r="H26" s="10" t="s">
        <v>151</v>
      </c>
    </row>
    <row r="27" customFormat="false" ht="51.75" hidden="false" customHeight="true" outlineLevel="0" collapsed="false">
      <c r="A27" s="20" t="s">
        <v>289</v>
      </c>
      <c r="B27" s="7" t="s">
        <v>290</v>
      </c>
      <c r="C27" s="7" t="s">
        <v>291</v>
      </c>
      <c r="D27" s="7" t="s">
        <v>292</v>
      </c>
      <c r="E27" s="7" t="s">
        <v>293</v>
      </c>
      <c r="F27" s="7" t="s">
        <v>294</v>
      </c>
      <c r="G27" s="7" t="s">
        <v>295</v>
      </c>
      <c r="H27" s="7" t="s">
        <v>296</v>
      </c>
    </row>
    <row r="28" customFormat="false" ht="51.75" hidden="false" customHeight="true" outlineLevel="0" collapsed="false">
      <c r="A28" s="22" t="s">
        <v>297</v>
      </c>
      <c r="B28" s="10" t="s">
        <v>290</v>
      </c>
      <c r="C28" s="10" t="s">
        <v>298</v>
      </c>
      <c r="D28" s="10" t="s">
        <v>299</v>
      </c>
      <c r="E28" s="10" t="s">
        <v>300</v>
      </c>
      <c r="F28" s="10" t="s">
        <v>301</v>
      </c>
      <c r="G28" s="10" t="s">
        <v>302</v>
      </c>
      <c r="H28" s="10" t="s">
        <v>151</v>
      </c>
    </row>
    <row r="29" customFormat="false" ht="51.75" hidden="false" customHeight="true" outlineLevel="0" collapsed="false">
      <c r="A29" s="20" t="s">
        <v>303</v>
      </c>
      <c r="B29" s="7" t="s">
        <v>304</v>
      </c>
      <c r="C29" s="7" t="s">
        <v>305</v>
      </c>
      <c r="D29" s="7" t="s">
        <v>306</v>
      </c>
      <c r="E29" s="7" t="s">
        <v>307</v>
      </c>
      <c r="F29" s="7" t="s">
        <v>308</v>
      </c>
      <c r="G29" s="7" t="s">
        <v>309</v>
      </c>
      <c r="H29" s="7" t="s">
        <v>310</v>
      </c>
    </row>
    <row r="32" customFormat="false" ht="15" hidden="false" customHeight="false" outlineLevel="0" collapsed="false">
      <c r="A32" s="3" t="s">
        <v>311</v>
      </c>
      <c r="B32" s="3"/>
      <c r="C32" s="3"/>
    </row>
    <row r="33" customFormat="false" ht="23.85" hidden="false" customHeight="false" outlineLevel="0" collapsed="false">
      <c r="A33" s="4" t="s">
        <v>131</v>
      </c>
      <c r="B33" s="4" t="s">
        <v>312</v>
      </c>
      <c r="C33" s="4" t="s">
        <v>313</v>
      </c>
    </row>
    <row r="34" customFormat="false" ht="23.85" hidden="false" customHeight="false" outlineLevel="0" collapsed="false">
      <c r="A34" s="6" t="s">
        <v>138</v>
      </c>
      <c r="B34" s="32" t="n">
        <v>4</v>
      </c>
      <c r="C34" s="35" t="n">
        <f aca="false">B34/B43</f>
        <v>0.16</v>
      </c>
    </row>
    <row r="35" customFormat="false" ht="23.85" hidden="false" customHeight="false" outlineLevel="0" collapsed="false">
      <c r="A35" s="9" t="s">
        <v>165</v>
      </c>
      <c r="B35" s="33" t="n">
        <v>3</v>
      </c>
      <c r="C35" s="36" t="n">
        <f aca="false">B35/B43</f>
        <v>0.12</v>
      </c>
    </row>
    <row r="36" customFormat="false" ht="23.85" hidden="false" customHeight="false" outlineLevel="0" collapsed="false">
      <c r="A36" s="6" t="s">
        <v>187</v>
      </c>
      <c r="B36" s="32" t="n">
        <v>3</v>
      </c>
      <c r="C36" s="35" t="n">
        <f aca="false">B36/B43</f>
        <v>0.12</v>
      </c>
    </row>
    <row r="37" customFormat="false" ht="23.85" hidden="false" customHeight="false" outlineLevel="0" collapsed="false">
      <c r="A37" s="9" t="s">
        <v>208</v>
      </c>
      <c r="B37" s="33" t="n">
        <v>4</v>
      </c>
      <c r="C37" s="36" t="n">
        <f aca="false">B37/B43</f>
        <v>0.16</v>
      </c>
    </row>
    <row r="38" customFormat="false" ht="35.05" hidden="false" customHeight="false" outlineLevel="0" collapsed="false">
      <c r="A38" s="6" t="s">
        <v>235</v>
      </c>
      <c r="B38" s="32" t="n">
        <v>3</v>
      </c>
      <c r="C38" s="35" t="n">
        <f aca="false">B38/B43</f>
        <v>0.12</v>
      </c>
    </row>
    <row r="39" customFormat="false" ht="23.85" hidden="false" customHeight="false" outlineLevel="0" collapsed="false">
      <c r="A39" s="9" t="s">
        <v>256</v>
      </c>
      <c r="B39" s="33" t="n">
        <v>3</v>
      </c>
      <c r="C39" s="36" t="n">
        <f aca="false">B39/B43</f>
        <v>0.12</v>
      </c>
    </row>
    <row r="40" customFormat="false" ht="46.25" hidden="false" customHeight="false" outlineLevel="0" collapsed="false">
      <c r="A40" s="6" t="s">
        <v>277</v>
      </c>
      <c r="B40" s="32" t="n">
        <v>2</v>
      </c>
      <c r="C40" s="35" t="n">
        <f aca="false">B40/B43</f>
        <v>0.08</v>
      </c>
    </row>
    <row r="41" customFormat="false" ht="23.85" hidden="false" customHeight="false" outlineLevel="0" collapsed="false">
      <c r="A41" s="9" t="s">
        <v>290</v>
      </c>
      <c r="B41" s="33" t="n">
        <v>2</v>
      </c>
      <c r="C41" s="36" t="n">
        <f aca="false">B41/B43</f>
        <v>0.08</v>
      </c>
    </row>
    <row r="42" customFormat="false" ht="15" hidden="false" customHeight="false" outlineLevel="0" collapsed="false">
      <c r="A42" s="6" t="s">
        <v>304</v>
      </c>
      <c r="B42" s="32" t="n">
        <v>1</v>
      </c>
      <c r="C42" s="35" t="n">
        <f aca="false">B42/B43</f>
        <v>0.04</v>
      </c>
    </row>
    <row r="43" customFormat="false" ht="15" hidden="false" customHeight="false" outlineLevel="0" collapsed="false">
      <c r="A43" s="37" t="s">
        <v>314</v>
      </c>
      <c r="B43" s="38" t="n">
        <f aca="false">SUM(B34:B42)</f>
        <v>25</v>
      </c>
      <c r="C43" s="39" t="s">
        <v>315</v>
      </c>
    </row>
  </sheetData>
  <mergeCells count="3">
    <mergeCell ref="A1:H1"/>
    <mergeCell ref="A2:H2"/>
    <mergeCell ref="A32:C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6"/>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18"/>
    <col collapsed="false" customWidth="true" hidden="false" outlineLevel="0" max="4" min="4" style="0" width="45"/>
    <col collapsed="false" customWidth="true" hidden="false" outlineLevel="0" max="5" min="5" style="0" width="22"/>
    <col collapsed="false" customWidth="true" hidden="false" outlineLevel="0" max="8" min="6" style="0" width="10"/>
    <col collapsed="false" customWidth="true" hidden="false" outlineLevel="0" max="9" min="9" style="0" width="12"/>
    <col collapsed="false" customWidth="true" hidden="false" outlineLevel="0" max="10" min="10" style="0" width="55"/>
    <col collapsed="false" customWidth="true" hidden="false" outlineLevel="0" max="11" min="11" style="0" width="12"/>
    <col collapsed="false" customWidth="true" hidden="false" outlineLevel="0" max="14" min="12" style="0" width="10"/>
    <col collapsed="false" customWidth="true" hidden="false" outlineLevel="0" max="15" min="15" style="0" width="12"/>
    <col collapsed="false" customWidth="true" hidden="false" outlineLevel="0" max="16" min="16" style="0" width="50"/>
  </cols>
  <sheetData>
    <row r="1" customFormat="false" ht="27.75" hidden="false" customHeight="true" outlineLevel="0" collapsed="false">
      <c r="A1" s="40" t="s">
        <v>316</v>
      </c>
      <c r="B1" s="40"/>
      <c r="C1" s="40"/>
      <c r="D1" s="40"/>
      <c r="E1" s="40"/>
      <c r="F1" s="40"/>
      <c r="G1" s="40"/>
      <c r="H1" s="40"/>
      <c r="I1" s="40"/>
      <c r="J1" s="40"/>
      <c r="K1" s="40"/>
      <c r="L1" s="40"/>
      <c r="M1" s="40"/>
      <c r="N1" s="40"/>
      <c r="O1" s="40"/>
      <c r="P1" s="40"/>
    </row>
    <row r="3" customFormat="false" ht="19.5" hidden="false" customHeight="true" outlineLevel="0" collapsed="false">
      <c r="A3" s="41" t="s">
        <v>317</v>
      </c>
      <c r="B3" s="42" t="s">
        <v>318</v>
      </c>
      <c r="C3" s="42"/>
      <c r="D3" s="42"/>
      <c r="E3" s="42"/>
      <c r="F3" s="41" t="s">
        <v>319</v>
      </c>
      <c r="G3" s="42" t="s">
        <v>320</v>
      </c>
      <c r="H3" s="42"/>
      <c r="I3" s="42"/>
      <c r="J3" s="42"/>
    </row>
    <row r="4" customFormat="false" ht="19.5" hidden="false" customHeight="true" outlineLevel="0" collapsed="false">
      <c r="A4" s="41" t="s">
        <v>321</v>
      </c>
      <c r="B4" s="42" t="s">
        <v>111</v>
      </c>
      <c r="C4" s="42"/>
      <c r="D4" s="42"/>
      <c r="E4" s="42"/>
      <c r="F4" s="41" t="s">
        <v>322</v>
      </c>
      <c r="G4" s="42" t="s">
        <v>323</v>
      </c>
      <c r="H4" s="42"/>
      <c r="I4" s="42"/>
      <c r="J4" s="42"/>
    </row>
    <row r="5" customFormat="false" ht="19.5" hidden="false" customHeight="true" outlineLevel="0" collapsed="false">
      <c r="A5" s="41" t="s">
        <v>324</v>
      </c>
      <c r="B5" s="42" t="s">
        <v>325</v>
      </c>
      <c r="C5" s="42"/>
      <c r="D5" s="42"/>
      <c r="E5" s="42"/>
      <c r="F5" s="41" t="s">
        <v>326</v>
      </c>
      <c r="G5" s="42" t="s">
        <v>327</v>
      </c>
      <c r="H5" s="42"/>
      <c r="I5" s="42"/>
      <c r="J5" s="42"/>
    </row>
    <row r="6" customFormat="false" ht="19.5" hidden="false" customHeight="true" outlineLevel="0" collapsed="false">
      <c r="A6" s="41" t="s">
        <v>328</v>
      </c>
      <c r="B6" s="42" t="s">
        <v>329</v>
      </c>
      <c r="C6" s="42"/>
      <c r="D6" s="42"/>
      <c r="E6" s="42"/>
      <c r="F6" s="41" t="s">
        <v>330</v>
      </c>
      <c r="G6" s="42" t="s">
        <v>115</v>
      </c>
      <c r="H6" s="42"/>
      <c r="I6" s="42"/>
      <c r="J6" s="42"/>
    </row>
    <row r="7" customFormat="false" ht="19.5" hidden="false" customHeight="true" outlineLevel="0" collapsed="false">
      <c r="A7" s="41" t="s">
        <v>331</v>
      </c>
      <c r="B7" s="42" t="s">
        <v>332</v>
      </c>
      <c r="C7" s="42"/>
      <c r="D7" s="42"/>
      <c r="E7" s="42"/>
      <c r="F7" s="41" t="s">
        <v>333</v>
      </c>
      <c r="G7" s="42" t="s">
        <v>334</v>
      </c>
      <c r="H7" s="42"/>
      <c r="I7" s="42"/>
      <c r="J7" s="42"/>
    </row>
    <row r="10" customFormat="false" ht="51.75" hidden="false" customHeight="true" outlineLevel="0" collapsed="false">
      <c r="A10" s="4" t="s">
        <v>335</v>
      </c>
      <c r="B10" s="4" t="s">
        <v>336</v>
      </c>
      <c r="C10" s="4" t="s">
        <v>131</v>
      </c>
      <c r="D10" s="4" t="s">
        <v>337</v>
      </c>
      <c r="E10" s="4" t="s">
        <v>338</v>
      </c>
      <c r="F10" s="4" t="s">
        <v>339</v>
      </c>
      <c r="G10" s="4" t="s">
        <v>340</v>
      </c>
      <c r="H10" s="4" t="s">
        <v>341</v>
      </c>
      <c r="I10" s="4" t="s">
        <v>342</v>
      </c>
      <c r="J10" s="4" t="s">
        <v>343</v>
      </c>
      <c r="K10" s="4" t="s">
        <v>344</v>
      </c>
      <c r="L10" s="4" t="s">
        <v>345</v>
      </c>
      <c r="M10" s="4" t="s">
        <v>346</v>
      </c>
      <c r="N10" s="4" t="s">
        <v>347</v>
      </c>
      <c r="O10" s="4" t="s">
        <v>348</v>
      </c>
      <c r="P10" s="4" t="s">
        <v>349</v>
      </c>
    </row>
    <row r="11" customFormat="false" ht="90" hidden="false" customHeight="true" outlineLevel="0" collapsed="false">
      <c r="A11" s="20" t="s">
        <v>350</v>
      </c>
      <c r="B11" s="20" t="s">
        <v>145</v>
      </c>
      <c r="C11" s="6" t="s">
        <v>138</v>
      </c>
      <c r="D11" s="7" t="s">
        <v>351</v>
      </c>
      <c r="E11" s="7" t="s">
        <v>352</v>
      </c>
      <c r="F11" s="32" t="n">
        <v>4</v>
      </c>
      <c r="G11" s="32" t="n">
        <v>4</v>
      </c>
      <c r="H11" s="20" t="n">
        <v>16</v>
      </c>
      <c r="I11" s="24" t="s">
        <v>353</v>
      </c>
      <c r="J11" s="7" t="s">
        <v>354</v>
      </c>
      <c r="K11" s="43" t="s">
        <v>355</v>
      </c>
      <c r="L11" s="32" t="n">
        <v>3</v>
      </c>
      <c r="M11" s="32" t="n">
        <v>3</v>
      </c>
      <c r="N11" s="20" t="n">
        <v>9</v>
      </c>
      <c r="O11" s="24" t="s">
        <v>91</v>
      </c>
      <c r="P11" s="7" t="s">
        <v>356</v>
      </c>
    </row>
    <row r="12" customFormat="false" ht="90" hidden="false" customHeight="true" outlineLevel="0" collapsed="false">
      <c r="A12" s="22" t="s">
        <v>357</v>
      </c>
      <c r="B12" s="22" t="s">
        <v>164</v>
      </c>
      <c r="C12" s="9" t="s">
        <v>165</v>
      </c>
      <c r="D12" s="10" t="s">
        <v>358</v>
      </c>
      <c r="E12" s="10" t="s">
        <v>359</v>
      </c>
      <c r="F12" s="33" t="n">
        <v>3</v>
      </c>
      <c r="G12" s="33" t="n">
        <v>4</v>
      </c>
      <c r="H12" s="22" t="n">
        <v>12</v>
      </c>
      <c r="I12" s="24" t="s">
        <v>353</v>
      </c>
      <c r="J12" s="10" t="s">
        <v>360</v>
      </c>
      <c r="K12" s="43" t="s">
        <v>355</v>
      </c>
      <c r="L12" s="33" t="n">
        <v>2</v>
      </c>
      <c r="M12" s="33" t="n">
        <v>4</v>
      </c>
      <c r="N12" s="22" t="n">
        <v>8</v>
      </c>
      <c r="O12" s="24" t="s">
        <v>91</v>
      </c>
      <c r="P12" s="10" t="s">
        <v>361</v>
      </c>
    </row>
    <row r="13" customFormat="false" ht="90" hidden="false" customHeight="true" outlineLevel="0" collapsed="false">
      <c r="A13" s="20" t="s">
        <v>362</v>
      </c>
      <c r="B13" s="20" t="s">
        <v>186</v>
      </c>
      <c r="C13" s="6" t="s">
        <v>187</v>
      </c>
      <c r="D13" s="7" t="s">
        <v>363</v>
      </c>
      <c r="E13" s="7" t="s">
        <v>364</v>
      </c>
      <c r="F13" s="32" t="n">
        <v>3</v>
      </c>
      <c r="G13" s="32" t="n">
        <v>5</v>
      </c>
      <c r="H13" s="20" t="n">
        <v>15</v>
      </c>
      <c r="I13" s="44" t="s">
        <v>64</v>
      </c>
      <c r="J13" s="7" t="s">
        <v>365</v>
      </c>
      <c r="K13" s="45" t="s">
        <v>353</v>
      </c>
      <c r="L13" s="32" t="n">
        <v>2</v>
      </c>
      <c r="M13" s="32" t="n">
        <v>5</v>
      </c>
      <c r="N13" s="20" t="n">
        <v>10</v>
      </c>
      <c r="O13" s="24" t="s">
        <v>91</v>
      </c>
      <c r="P13" s="7" t="s">
        <v>366</v>
      </c>
    </row>
    <row r="14" customFormat="false" ht="90" hidden="false" customHeight="true" outlineLevel="0" collapsed="false">
      <c r="A14" s="22" t="s">
        <v>367</v>
      </c>
      <c r="B14" s="22" t="s">
        <v>194</v>
      </c>
      <c r="C14" s="9" t="s">
        <v>187</v>
      </c>
      <c r="D14" s="10" t="s">
        <v>368</v>
      </c>
      <c r="E14" s="10" t="s">
        <v>369</v>
      </c>
      <c r="F14" s="33" t="n">
        <v>3</v>
      </c>
      <c r="G14" s="33" t="n">
        <v>4</v>
      </c>
      <c r="H14" s="22" t="n">
        <v>12</v>
      </c>
      <c r="I14" s="24" t="s">
        <v>353</v>
      </c>
      <c r="J14" s="10" t="s">
        <v>370</v>
      </c>
      <c r="K14" s="43" t="s">
        <v>355</v>
      </c>
      <c r="L14" s="33" t="n">
        <v>2</v>
      </c>
      <c r="M14" s="33" t="n">
        <v>3</v>
      </c>
      <c r="N14" s="22" t="n">
        <v>6</v>
      </c>
      <c r="O14" s="23" t="s">
        <v>88</v>
      </c>
      <c r="P14" s="10" t="s">
        <v>371</v>
      </c>
    </row>
    <row r="15" customFormat="false" ht="90" hidden="false" customHeight="true" outlineLevel="0" collapsed="false">
      <c r="A15" s="20" t="s">
        <v>372</v>
      </c>
      <c r="B15" s="20" t="s">
        <v>207</v>
      </c>
      <c r="C15" s="6" t="s">
        <v>208</v>
      </c>
      <c r="D15" s="7" t="s">
        <v>373</v>
      </c>
      <c r="E15" s="7" t="s">
        <v>374</v>
      </c>
      <c r="F15" s="32" t="n">
        <v>2</v>
      </c>
      <c r="G15" s="32" t="n">
        <v>5</v>
      </c>
      <c r="H15" s="20" t="n">
        <v>10</v>
      </c>
      <c r="I15" s="24" t="s">
        <v>353</v>
      </c>
      <c r="J15" s="7" t="s">
        <v>375</v>
      </c>
      <c r="K15" s="45" t="s">
        <v>353</v>
      </c>
      <c r="L15" s="32" t="n">
        <v>1</v>
      </c>
      <c r="M15" s="32" t="n">
        <v>5</v>
      </c>
      <c r="N15" s="20" t="n">
        <v>5</v>
      </c>
      <c r="O15" s="23" t="s">
        <v>88</v>
      </c>
      <c r="P15" s="7" t="s">
        <v>376</v>
      </c>
    </row>
    <row r="16" customFormat="false" ht="90" hidden="false" customHeight="true" outlineLevel="0" collapsed="false">
      <c r="A16" s="22" t="s">
        <v>377</v>
      </c>
      <c r="B16" s="22" t="s">
        <v>214</v>
      </c>
      <c r="C16" s="9" t="s">
        <v>208</v>
      </c>
      <c r="D16" s="10" t="s">
        <v>378</v>
      </c>
      <c r="E16" s="10" t="s">
        <v>379</v>
      </c>
      <c r="F16" s="33" t="n">
        <v>3</v>
      </c>
      <c r="G16" s="33" t="n">
        <v>4</v>
      </c>
      <c r="H16" s="22" t="n">
        <v>12</v>
      </c>
      <c r="I16" s="24" t="s">
        <v>353</v>
      </c>
      <c r="J16" s="10" t="s">
        <v>380</v>
      </c>
      <c r="K16" s="45" t="s">
        <v>353</v>
      </c>
      <c r="L16" s="33" t="n">
        <v>2</v>
      </c>
      <c r="M16" s="33" t="n">
        <v>3</v>
      </c>
      <c r="N16" s="22" t="n">
        <v>6</v>
      </c>
      <c r="O16" s="23" t="s">
        <v>88</v>
      </c>
      <c r="P16" s="10" t="s">
        <v>381</v>
      </c>
    </row>
    <row r="17" customFormat="false" ht="90" hidden="false" customHeight="true" outlineLevel="0" collapsed="false">
      <c r="A17" s="20" t="s">
        <v>382</v>
      </c>
      <c r="B17" s="20" t="s">
        <v>221</v>
      </c>
      <c r="C17" s="6" t="s">
        <v>208</v>
      </c>
      <c r="D17" s="7" t="s">
        <v>383</v>
      </c>
      <c r="E17" s="7" t="s">
        <v>384</v>
      </c>
      <c r="F17" s="32" t="n">
        <v>2</v>
      </c>
      <c r="G17" s="32" t="n">
        <v>4</v>
      </c>
      <c r="H17" s="20" t="n">
        <v>8</v>
      </c>
      <c r="I17" s="23" t="s">
        <v>88</v>
      </c>
      <c r="J17" s="7" t="s">
        <v>385</v>
      </c>
      <c r="K17" s="43" t="s">
        <v>355</v>
      </c>
      <c r="L17" s="32" t="n">
        <v>1</v>
      </c>
      <c r="M17" s="32" t="n">
        <v>4</v>
      </c>
      <c r="N17" s="20" t="n">
        <v>4</v>
      </c>
      <c r="O17" s="21" t="s">
        <v>85</v>
      </c>
      <c r="P17" s="7" t="s">
        <v>386</v>
      </c>
    </row>
    <row r="18" customFormat="false" ht="90" hidden="false" customHeight="true" outlineLevel="0" collapsed="false">
      <c r="A18" s="22" t="s">
        <v>387</v>
      </c>
      <c r="B18" s="22" t="s">
        <v>152</v>
      </c>
      <c r="C18" s="9" t="s">
        <v>138</v>
      </c>
      <c r="D18" s="10" t="s">
        <v>388</v>
      </c>
      <c r="E18" s="10" t="s">
        <v>389</v>
      </c>
      <c r="F18" s="33" t="n">
        <v>3</v>
      </c>
      <c r="G18" s="33" t="n">
        <v>3</v>
      </c>
      <c r="H18" s="22" t="n">
        <v>9</v>
      </c>
      <c r="I18" s="23" t="s">
        <v>88</v>
      </c>
      <c r="J18" s="10" t="s">
        <v>390</v>
      </c>
      <c r="K18" s="43" t="s">
        <v>355</v>
      </c>
      <c r="L18" s="33" t="n">
        <v>2</v>
      </c>
      <c r="M18" s="33" t="n">
        <v>3</v>
      </c>
      <c r="N18" s="22" t="n">
        <v>6</v>
      </c>
      <c r="O18" s="23" t="s">
        <v>88</v>
      </c>
      <c r="P18" s="10" t="s">
        <v>391</v>
      </c>
    </row>
    <row r="19" customFormat="false" ht="90" hidden="false" customHeight="true" outlineLevel="0" collapsed="false">
      <c r="A19" s="20" t="s">
        <v>392</v>
      </c>
      <c r="B19" s="20" t="s">
        <v>234</v>
      </c>
      <c r="C19" s="6" t="s">
        <v>235</v>
      </c>
      <c r="D19" s="7" t="s">
        <v>393</v>
      </c>
      <c r="E19" s="7" t="s">
        <v>394</v>
      </c>
      <c r="F19" s="32" t="n">
        <v>3</v>
      </c>
      <c r="G19" s="32" t="n">
        <v>4</v>
      </c>
      <c r="H19" s="20" t="n">
        <v>12</v>
      </c>
      <c r="I19" s="24" t="s">
        <v>353</v>
      </c>
      <c r="J19" s="7" t="s">
        <v>395</v>
      </c>
      <c r="K19" s="45" t="s">
        <v>353</v>
      </c>
      <c r="L19" s="32" t="n">
        <v>2</v>
      </c>
      <c r="M19" s="32" t="n">
        <v>3</v>
      </c>
      <c r="N19" s="20" t="n">
        <v>6</v>
      </c>
      <c r="O19" s="23" t="s">
        <v>88</v>
      </c>
      <c r="P19" s="7" t="s">
        <v>396</v>
      </c>
    </row>
    <row r="20" customFormat="false" ht="90" hidden="false" customHeight="true" outlineLevel="0" collapsed="false">
      <c r="A20" s="22" t="s">
        <v>397</v>
      </c>
      <c r="B20" s="22" t="s">
        <v>255</v>
      </c>
      <c r="C20" s="9" t="s">
        <v>256</v>
      </c>
      <c r="D20" s="10" t="s">
        <v>398</v>
      </c>
      <c r="E20" s="10" t="s">
        <v>399</v>
      </c>
      <c r="F20" s="33" t="n">
        <v>2</v>
      </c>
      <c r="G20" s="33" t="n">
        <v>5</v>
      </c>
      <c r="H20" s="22" t="n">
        <v>10</v>
      </c>
      <c r="I20" s="24" t="s">
        <v>353</v>
      </c>
      <c r="J20" s="10" t="s">
        <v>400</v>
      </c>
      <c r="K20" s="43" t="s">
        <v>355</v>
      </c>
      <c r="L20" s="33" t="n">
        <v>2</v>
      </c>
      <c r="M20" s="33" t="n">
        <v>4</v>
      </c>
      <c r="N20" s="22" t="n">
        <v>8</v>
      </c>
      <c r="O20" s="24" t="s">
        <v>91</v>
      </c>
      <c r="P20" s="10" t="s">
        <v>401</v>
      </c>
    </row>
    <row r="21" customFormat="false" ht="90" hidden="false" customHeight="true" outlineLevel="0" collapsed="false">
      <c r="A21" s="20" t="s">
        <v>402</v>
      </c>
      <c r="B21" s="20" t="s">
        <v>249</v>
      </c>
      <c r="C21" s="6" t="s">
        <v>235</v>
      </c>
      <c r="D21" s="7" t="s">
        <v>403</v>
      </c>
      <c r="E21" s="7" t="s">
        <v>404</v>
      </c>
      <c r="F21" s="32" t="n">
        <v>2</v>
      </c>
      <c r="G21" s="32" t="n">
        <v>4</v>
      </c>
      <c r="H21" s="20" t="n">
        <v>8</v>
      </c>
      <c r="I21" s="23" t="s">
        <v>88</v>
      </c>
      <c r="J21" s="7" t="s">
        <v>405</v>
      </c>
      <c r="K21" s="45" t="s">
        <v>353</v>
      </c>
      <c r="L21" s="32" t="n">
        <v>1</v>
      </c>
      <c r="M21" s="32" t="n">
        <v>4</v>
      </c>
      <c r="N21" s="20" t="n">
        <v>4</v>
      </c>
      <c r="O21" s="21" t="s">
        <v>85</v>
      </c>
      <c r="P21" s="7" t="s">
        <v>406</v>
      </c>
    </row>
    <row r="22" customFormat="false" ht="90" hidden="false" customHeight="true" outlineLevel="0" collapsed="false">
      <c r="A22" s="22" t="s">
        <v>407</v>
      </c>
      <c r="B22" s="22" t="s">
        <v>289</v>
      </c>
      <c r="C22" s="9" t="s">
        <v>290</v>
      </c>
      <c r="D22" s="10" t="s">
        <v>408</v>
      </c>
      <c r="E22" s="10" t="s">
        <v>409</v>
      </c>
      <c r="F22" s="33" t="n">
        <v>2</v>
      </c>
      <c r="G22" s="33" t="n">
        <v>5</v>
      </c>
      <c r="H22" s="22" t="n">
        <v>10</v>
      </c>
      <c r="I22" s="24" t="s">
        <v>353</v>
      </c>
      <c r="J22" s="10" t="s">
        <v>410</v>
      </c>
      <c r="K22" s="43" t="s">
        <v>355</v>
      </c>
      <c r="L22" s="33" t="n">
        <v>2</v>
      </c>
      <c r="M22" s="33" t="n">
        <v>4</v>
      </c>
      <c r="N22" s="22" t="n">
        <v>8</v>
      </c>
      <c r="O22" s="24" t="s">
        <v>91</v>
      </c>
      <c r="P22" s="10" t="s">
        <v>411</v>
      </c>
    </row>
    <row r="23" customFormat="false" ht="90" hidden="false" customHeight="true" outlineLevel="0" collapsed="false">
      <c r="A23" s="20" t="s">
        <v>412</v>
      </c>
      <c r="B23" s="20" t="s">
        <v>297</v>
      </c>
      <c r="C23" s="6" t="s">
        <v>290</v>
      </c>
      <c r="D23" s="7" t="s">
        <v>413</v>
      </c>
      <c r="E23" s="7" t="s">
        <v>414</v>
      </c>
      <c r="F23" s="32" t="n">
        <v>4</v>
      </c>
      <c r="G23" s="32" t="n">
        <v>3</v>
      </c>
      <c r="H23" s="20" t="n">
        <v>12</v>
      </c>
      <c r="I23" s="24" t="s">
        <v>353</v>
      </c>
      <c r="J23" s="7" t="s">
        <v>415</v>
      </c>
      <c r="K23" s="43" t="s">
        <v>355</v>
      </c>
      <c r="L23" s="32" t="n">
        <v>3</v>
      </c>
      <c r="M23" s="32" t="n">
        <v>3</v>
      </c>
      <c r="N23" s="20" t="n">
        <v>9</v>
      </c>
      <c r="O23" s="23" t="s">
        <v>88</v>
      </c>
      <c r="P23" s="7" t="s">
        <v>416</v>
      </c>
    </row>
    <row r="24" customFormat="false" ht="90" hidden="false" customHeight="true" outlineLevel="0" collapsed="false">
      <c r="A24" s="22" t="s">
        <v>417</v>
      </c>
      <c r="B24" s="22" t="s">
        <v>242</v>
      </c>
      <c r="C24" s="9" t="s">
        <v>235</v>
      </c>
      <c r="D24" s="10" t="s">
        <v>418</v>
      </c>
      <c r="E24" s="10" t="s">
        <v>419</v>
      </c>
      <c r="F24" s="33" t="n">
        <v>2</v>
      </c>
      <c r="G24" s="33" t="n">
        <v>3</v>
      </c>
      <c r="H24" s="22" t="n">
        <v>6</v>
      </c>
      <c r="I24" s="23" t="s">
        <v>88</v>
      </c>
      <c r="J24" s="10" t="s">
        <v>420</v>
      </c>
      <c r="K24" s="45" t="s">
        <v>353</v>
      </c>
      <c r="L24" s="33" t="n">
        <v>1</v>
      </c>
      <c r="M24" s="33" t="n">
        <v>3</v>
      </c>
      <c r="N24" s="22" t="n">
        <v>3</v>
      </c>
      <c r="O24" s="21" t="s">
        <v>85</v>
      </c>
      <c r="P24" s="10" t="s">
        <v>421</v>
      </c>
    </row>
    <row r="25" customFormat="false" ht="90" hidden="false" customHeight="true" outlineLevel="0" collapsed="false">
      <c r="A25" s="20" t="s">
        <v>422</v>
      </c>
      <c r="B25" s="20" t="s">
        <v>263</v>
      </c>
      <c r="C25" s="6" t="s">
        <v>256</v>
      </c>
      <c r="D25" s="7" t="s">
        <v>423</v>
      </c>
      <c r="E25" s="7" t="s">
        <v>424</v>
      </c>
      <c r="F25" s="32" t="n">
        <v>2</v>
      </c>
      <c r="G25" s="32" t="n">
        <v>4</v>
      </c>
      <c r="H25" s="20" t="n">
        <v>8</v>
      </c>
      <c r="I25" s="23" t="s">
        <v>88</v>
      </c>
      <c r="J25" s="7" t="s">
        <v>425</v>
      </c>
      <c r="K25" s="45" t="s">
        <v>353</v>
      </c>
      <c r="L25" s="32" t="n">
        <v>1</v>
      </c>
      <c r="M25" s="32" t="n">
        <v>3</v>
      </c>
      <c r="N25" s="20" t="n">
        <v>3</v>
      </c>
      <c r="O25" s="21" t="s">
        <v>85</v>
      </c>
      <c r="P25" s="7" t="s">
        <v>426</v>
      </c>
    </row>
    <row r="28" customFormat="false" ht="24" hidden="false" customHeight="true" outlineLevel="0" collapsed="false">
      <c r="A28" s="31" t="s">
        <v>427</v>
      </c>
      <c r="B28" s="31"/>
      <c r="C28" s="31"/>
      <c r="D28" s="31"/>
      <c r="E28" s="31"/>
      <c r="F28" s="31"/>
      <c r="G28" s="31"/>
      <c r="H28" s="31"/>
      <c r="I28" s="31"/>
      <c r="J28" s="31"/>
      <c r="K28" s="31"/>
      <c r="L28" s="31"/>
      <c r="M28" s="31"/>
      <c r="N28" s="31"/>
      <c r="O28" s="31"/>
      <c r="P28" s="31"/>
    </row>
    <row r="29" customFormat="false" ht="23.85" hidden="false" customHeight="false" outlineLevel="0" collapsed="false">
      <c r="A29" s="4" t="s">
        <v>428</v>
      </c>
      <c r="B29" s="4" t="s">
        <v>429</v>
      </c>
      <c r="C29" s="4" t="s">
        <v>430</v>
      </c>
      <c r="D29" s="4" t="s">
        <v>431</v>
      </c>
      <c r="E29" s="4" t="s">
        <v>102</v>
      </c>
    </row>
    <row r="30" customFormat="false" ht="21.75" hidden="false" customHeight="true" outlineLevel="0" collapsed="false">
      <c r="A30" s="25" t="s">
        <v>94</v>
      </c>
      <c r="B30" s="46" t="n">
        <v>1</v>
      </c>
      <c r="C30" s="46" t="n">
        <v>0</v>
      </c>
      <c r="D30" s="46" t="n">
        <v>-1</v>
      </c>
      <c r="E30" s="46" t="s">
        <v>432</v>
      </c>
    </row>
    <row r="31" customFormat="false" ht="21.75" hidden="false" customHeight="true" outlineLevel="0" collapsed="false">
      <c r="A31" s="24" t="s">
        <v>91</v>
      </c>
      <c r="B31" s="47" t="n">
        <v>9</v>
      </c>
      <c r="C31" s="47" t="n">
        <v>5</v>
      </c>
      <c r="D31" s="47" t="n">
        <v>-4</v>
      </c>
      <c r="E31" s="47" t="s">
        <v>432</v>
      </c>
    </row>
    <row r="32" customFormat="false" ht="21.75" hidden="false" customHeight="true" outlineLevel="0" collapsed="false">
      <c r="A32" s="23" t="s">
        <v>88</v>
      </c>
      <c r="B32" s="44" t="n">
        <v>5</v>
      </c>
      <c r="C32" s="44" t="n">
        <v>6</v>
      </c>
      <c r="D32" s="44" t="n">
        <v>1</v>
      </c>
      <c r="E32" s="44" t="s">
        <v>433</v>
      </c>
    </row>
    <row r="33" customFormat="false" ht="21.75" hidden="false" customHeight="true" outlineLevel="0" collapsed="false">
      <c r="A33" s="21" t="s">
        <v>85</v>
      </c>
      <c r="B33" s="48" t="n">
        <v>0</v>
      </c>
      <c r="C33" s="48" t="n">
        <v>4</v>
      </c>
      <c r="D33" s="48" t="n">
        <v>4</v>
      </c>
      <c r="E33" s="48" t="s">
        <v>433</v>
      </c>
    </row>
    <row r="34" customFormat="false" ht="19.5" hidden="false" customHeight="true" outlineLevel="0" collapsed="false">
      <c r="A34" s="38" t="s">
        <v>314</v>
      </c>
      <c r="B34" s="38" t="n">
        <v>15</v>
      </c>
      <c r="C34" s="38" t="n">
        <v>15</v>
      </c>
      <c r="D34" s="49" t="s">
        <v>434</v>
      </c>
      <c r="E34" s="49" t="s">
        <v>435</v>
      </c>
    </row>
    <row r="36" customFormat="false" ht="19.5" hidden="false" customHeight="true" outlineLevel="0" collapsed="false">
      <c r="A36" s="50" t="s">
        <v>436</v>
      </c>
      <c r="B36" s="50"/>
      <c r="C36" s="50"/>
      <c r="D36" s="50"/>
      <c r="E36" s="50"/>
      <c r="F36" s="50"/>
      <c r="G36" s="50"/>
      <c r="H36" s="50"/>
      <c r="I36" s="50"/>
      <c r="J36" s="50"/>
      <c r="K36" s="50"/>
      <c r="L36" s="50"/>
      <c r="M36" s="50"/>
      <c r="N36" s="50"/>
      <c r="O36" s="50"/>
      <c r="P36" s="50"/>
    </row>
  </sheetData>
  <mergeCells count="13">
    <mergeCell ref="A1:P1"/>
    <mergeCell ref="B3:E3"/>
    <mergeCell ref="G3:J3"/>
    <mergeCell ref="B4:E4"/>
    <mergeCell ref="G4:J4"/>
    <mergeCell ref="B5:E5"/>
    <mergeCell ref="G5:J5"/>
    <mergeCell ref="B6:E6"/>
    <mergeCell ref="G6:J6"/>
    <mergeCell ref="B7:E7"/>
    <mergeCell ref="G7:J7"/>
    <mergeCell ref="A28:P28"/>
    <mergeCell ref="A36:P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18"/>
    <col collapsed="false" customWidth="true" hidden="false" outlineLevel="0" max="4" min="4" style="0" width="38"/>
    <col collapsed="false" customWidth="true" hidden="false" outlineLevel="0" max="5" min="5" style="0" width="22"/>
    <col collapsed="false" customWidth="true" hidden="false" outlineLevel="0" max="8" min="6" style="0" width="10"/>
    <col collapsed="false" customWidth="true" hidden="false" outlineLevel="0" max="9" min="9" style="0" width="12"/>
    <col collapsed="false" customWidth="true" hidden="false" outlineLevel="0" max="10" min="10" style="0" width="38"/>
    <col collapsed="false" customWidth="true" hidden="false" outlineLevel="0" max="11" min="11" style="0" width="12"/>
    <col collapsed="false" customWidth="true" hidden="false" outlineLevel="0" max="14" min="12" style="0" width="10"/>
    <col collapsed="false" customWidth="true" hidden="false" outlineLevel="0" max="15" min="15" style="0" width="12"/>
    <col collapsed="false" customWidth="true" hidden="false" outlineLevel="0" max="16" min="16" style="0" width="40"/>
  </cols>
  <sheetData>
    <row r="1" customFormat="false" ht="30" hidden="false" customHeight="true" outlineLevel="0" collapsed="false">
      <c r="A1" s="1" t="s">
        <v>437</v>
      </c>
      <c r="B1" s="1"/>
      <c r="C1" s="1"/>
      <c r="D1" s="1"/>
      <c r="E1" s="1"/>
      <c r="F1" s="1"/>
      <c r="G1" s="1"/>
      <c r="H1" s="1"/>
      <c r="I1" s="1"/>
      <c r="J1" s="1"/>
      <c r="K1" s="1"/>
      <c r="L1" s="1"/>
      <c r="M1" s="1"/>
      <c r="N1" s="1"/>
      <c r="O1" s="1"/>
      <c r="P1" s="1"/>
    </row>
    <row r="3" customFormat="false" ht="19.5" hidden="false" customHeight="true" outlineLevel="0" collapsed="false">
      <c r="A3" s="41" t="s">
        <v>317</v>
      </c>
      <c r="B3" s="42" t="s">
        <v>438</v>
      </c>
      <c r="C3" s="42"/>
      <c r="D3" s="42"/>
      <c r="E3" s="41" t="s">
        <v>319</v>
      </c>
      <c r="F3" s="42" t="s">
        <v>439</v>
      </c>
      <c r="G3" s="42"/>
      <c r="H3" s="42"/>
    </row>
    <row r="4" customFormat="false" ht="19.5" hidden="false" customHeight="true" outlineLevel="0" collapsed="false">
      <c r="A4" s="41" t="s">
        <v>321</v>
      </c>
      <c r="B4" s="42" t="s">
        <v>440</v>
      </c>
      <c r="C4" s="42"/>
      <c r="D4" s="42"/>
      <c r="E4" s="41" t="s">
        <v>441</v>
      </c>
      <c r="F4" s="42" t="s">
        <v>439</v>
      </c>
      <c r="G4" s="42"/>
      <c r="H4" s="42"/>
    </row>
    <row r="5" customFormat="false" ht="19.5" hidden="false" customHeight="true" outlineLevel="0" collapsed="false">
      <c r="A5" s="41" t="s">
        <v>324</v>
      </c>
      <c r="B5" s="42" t="s">
        <v>442</v>
      </c>
      <c r="C5" s="42"/>
      <c r="D5" s="42"/>
      <c r="E5" s="41" t="s">
        <v>326</v>
      </c>
      <c r="F5" s="42" t="s">
        <v>327</v>
      </c>
      <c r="G5" s="42"/>
      <c r="H5" s="42"/>
    </row>
    <row r="6" customFormat="false" ht="19.5" hidden="false" customHeight="true" outlineLevel="0" collapsed="false">
      <c r="A6" s="41" t="s">
        <v>328</v>
      </c>
      <c r="B6" s="42" t="s">
        <v>439</v>
      </c>
      <c r="C6" s="42"/>
      <c r="D6" s="42"/>
      <c r="E6" s="41" t="s">
        <v>330</v>
      </c>
      <c r="F6" s="42" t="s">
        <v>115</v>
      </c>
      <c r="G6" s="42"/>
      <c r="H6" s="42"/>
    </row>
    <row r="8" customFormat="false" ht="51.75" hidden="false" customHeight="true" outlineLevel="0" collapsed="false">
      <c r="A8" s="4" t="s">
        <v>335</v>
      </c>
      <c r="B8" s="4" t="s">
        <v>336</v>
      </c>
      <c r="C8" s="4" t="s">
        <v>131</v>
      </c>
      <c r="D8" s="4" t="s">
        <v>337</v>
      </c>
      <c r="E8" s="4" t="s">
        <v>338</v>
      </c>
      <c r="F8" s="4" t="s">
        <v>339</v>
      </c>
      <c r="G8" s="4" t="s">
        <v>340</v>
      </c>
      <c r="H8" s="4" t="s">
        <v>341</v>
      </c>
      <c r="I8" s="4" t="s">
        <v>342</v>
      </c>
      <c r="J8" s="4" t="s">
        <v>343</v>
      </c>
      <c r="K8" s="4" t="s">
        <v>344</v>
      </c>
      <c r="L8" s="4" t="s">
        <v>345</v>
      </c>
      <c r="M8" s="4" t="s">
        <v>346</v>
      </c>
      <c r="N8" s="4" t="s">
        <v>347</v>
      </c>
      <c r="O8" s="4" t="s">
        <v>348</v>
      </c>
      <c r="P8" s="4" t="s">
        <v>349</v>
      </c>
    </row>
    <row r="9" customFormat="false" ht="51.75" hidden="false" customHeight="true" outlineLevel="0" collapsed="false">
      <c r="A9" s="7" t="s">
        <v>443</v>
      </c>
      <c r="B9" s="7" t="s">
        <v>444</v>
      </c>
      <c r="C9" s="7" t="s">
        <v>445</v>
      </c>
      <c r="D9" s="7" t="s">
        <v>446</v>
      </c>
      <c r="E9" s="7" t="s">
        <v>447</v>
      </c>
      <c r="F9" s="32" t="n">
        <v>3</v>
      </c>
      <c r="G9" s="32" t="n">
        <v>3</v>
      </c>
      <c r="H9" s="51" t="n">
        <f aca="false">F9*G9</f>
        <v>9</v>
      </c>
      <c r="I9" s="51" t="str">
        <f aca="false">IF(H9&gt;=15,"CRITICAL",IF(H9&gt;=10,"HIGH",IF(H9&gt;=5,"MEDIUM","LOW")))</f>
        <v>MEDIUM</v>
      </c>
      <c r="J9" s="7" t="s">
        <v>448</v>
      </c>
      <c r="K9" s="7" t="s">
        <v>355</v>
      </c>
      <c r="L9" s="32" t="n">
        <v>2</v>
      </c>
      <c r="M9" s="32" t="n">
        <v>2</v>
      </c>
      <c r="N9" s="51" t="n">
        <f aca="false">L9*M9</f>
        <v>4</v>
      </c>
      <c r="O9" s="51" t="str">
        <f aca="false">IF(N9&gt;=15,"CRITICAL",IF(N9&gt;=10,"HIGH",IF(N9&gt;=5,"MEDIUM","LOW")))</f>
        <v>LOW</v>
      </c>
      <c r="P9" s="7" t="s">
        <v>449</v>
      </c>
    </row>
    <row r="10" customFormat="false" ht="51.75" hidden="false" customHeight="true" outlineLevel="0" collapsed="false">
      <c r="A10" s="10" t="s">
        <v>450</v>
      </c>
      <c r="B10" s="10" t="s">
        <v>444</v>
      </c>
      <c r="C10" s="10" t="s">
        <v>445</v>
      </c>
      <c r="D10" s="10" t="s">
        <v>446</v>
      </c>
      <c r="E10" s="10" t="s">
        <v>447</v>
      </c>
      <c r="F10" s="33" t="n">
        <v>2</v>
      </c>
      <c r="G10" s="33" t="n">
        <v>4</v>
      </c>
      <c r="H10" s="52" t="n">
        <f aca="false">F10*G10</f>
        <v>8</v>
      </c>
      <c r="I10" s="52" t="str">
        <f aca="false">IF(H10&gt;=15,"CRITICAL",IF(H10&gt;=10,"HIGH",IF(H10&gt;=5,"MEDIUM","LOW")))</f>
        <v>MEDIUM</v>
      </c>
      <c r="J10" s="10" t="s">
        <v>448</v>
      </c>
      <c r="K10" s="10" t="s">
        <v>353</v>
      </c>
      <c r="L10" s="33" t="n">
        <v>2</v>
      </c>
      <c r="M10" s="33" t="n">
        <v>3</v>
      </c>
      <c r="N10" s="52" t="n">
        <f aca="false">L10*M10</f>
        <v>6</v>
      </c>
      <c r="O10" s="52" t="str">
        <f aca="false">IF(N10&gt;=15,"CRITICAL",IF(N10&gt;=10,"HIGH",IF(N10&gt;=5,"MEDIUM","LOW")))</f>
        <v>MEDIUM</v>
      </c>
      <c r="P10" s="10" t="s">
        <v>449</v>
      </c>
    </row>
    <row r="13" customFormat="false" ht="43.5" hidden="false" customHeight="true" outlineLevel="0" collapsed="false">
      <c r="A13" s="53" t="s">
        <v>451</v>
      </c>
      <c r="B13" s="53"/>
      <c r="C13" s="53"/>
      <c r="D13" s="53"/>
      <c r="E13" s="53"/>
      <c r="F13" s="53"/>
      <c r="G13" s="53"/>
      <c r="H13" s="53"/>
      <c r="I13" s="53"/>
      <c r="J13" s="53"/>
      <c r="K13" s="53"/>
      <c r="L13" s="53"/>
      <c r="M13" s="53"/>
      <c r="N13" s="53"/>
      <c r="O13" s="53"/>
      <c r="P13" s="53"/>
    </row>
  </sheetData>
  <mergeCells count="10">
    <mergeCell ref="A1:P1"/>
    <mergeCell ref="B3:D3"/>
    <mergeCell ref="F3:H3"/>
    <mergeCell ref="B4:D4"/>
    <mergeCell ref="F4:H4"/>
    <mergeCell ref="B5:D5"/>
    <mergeCell ref="F5:H5"/>
    <mergeCell ref="B6:D6"/>
    <mergeCell ref="F6:H6"/>
    <mergeCell ref="A13:P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2026-03-14T21:57:24Z</dcterms:created>
  <dc:creator>openpyxl</dc:creator>
  <dc:description/>
  <dc:language>en-US</dc:language>
  <cp:lastModifiedBy/>
  <dcterms:modified xsi:type="dcterms:W3CDTF">2026-03-14T21:57:24Z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